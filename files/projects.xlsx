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mc:AlternateContent xmlns:mc="http://schemas.openxmlformats.org/markup-compatibility/2006">
    <mc:Choice Requires="x15">
      <x15ac:absPath xmlns:x15ac="http://schemas.microsoft.com/office/spreadsheetml/2010/11/ac" url="https://fibadmin-my.sharepoint.com/personal/rudaw_abdalrahman_fib_iq/Documents/"/>
    </mc:Choice>
  </mc:AlternateContent>
  <xr:revisionPtr revIDLastSave="279" documentId="8_{061EDBCB-51E4-4788-BE65-D674C7489576}" xr6:coauthVersionLast="47" xr6:coauthVersionMax="47" xr10:uidLastSave="{6C13EFA6-DDF4-409A-ADFC-4BF453452F01}"/>
  <bookViews>
    <workbookView xWindow="-108" yWindow="12852" windowWidth="23256" windowHeight="12456" firstSheet="1" activeTab="1" xr2:uid="{00000000-000D-0000-FFFF-FFFF00000000}"/>
  </bookViews>
  <sheets>
    <sheet name="Dashboard" sheetId="3" r:id="rId1"/>
    <sheet name="Projects list" sheetId="1" r:id="rId2"/>
    <sheet name="Finanical"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3" l="1" a="1"/>
  <c r="C1"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<sst xmlns="http://schemas.openxmlformats.org/spreadsheetml/2006/main" count="397" uniqueCount="201">
  <si>
    <t>Project Name</t>
  </si>
  <si>
    <t>Project Status</t>
  </si>
  <si>
    <t>Project Jira Link</t>
  </si>
  <si>
    <t>Complition Rate</t>
  </si>
  <si>
    <t>Start Date</t>
  </si>
  <si>
    <t>End Date</t>
  </si>
  <si>
    <t>Priority</t>
  </si>
  <si>
    <t>Project Manager</t>
  </si>
  <si>
    <t>Comments</t>
  </si>
  <si>
    <t>Paid</t>
  </si>
  <si>
    <t>Remaining</t>
  </si>
  <si>
    <t>Annual License</t>
  </si>
  <si>
    <t>Column1</t>
  </si>
  <si>
    <t>XPI Project</t>
  </si>
  <si>
    <t>Ongoing</t>
  </si>
  <si>
    <t>High</t>
  </si>
  <si>
    <t>Waael Al-Qadhi</t>
  </si>
  <si>
    <t>Status Update:
3-SOP is under completion from Nasreen.
4-  PGW suspended, DR under reviwe, PCI in progress</t>
  </si>
  <si>
    <t>ATM Project</t>
  </si>
  <si>
    <t>To Be Started</t>
  </si>
  <si>
    <t>Medum</t>
  </si>
  <si>
    <t>Awaiting for Gov. Approval to start distributing the ATMs</t>
  </si>
  <si>
    <t>الاصلاح المصرفي</t>
  </si>
  <si>
    <t>in progress</t>
  </si>
  <si>
    <t>https://fibtask.atlassian.net/browse/FIBTMP</t>
  </si>
  <si>
    <t xml:space="preserve">In progress ( progressive elaboration) </t>
  </si>
  <si>
    <t>Auto Settlement Requirement – CBI Mandate</t>
  </si>
  <si>
    <t>Completed</t>
  </si>
  <si>
    <t xml:space="preserve">Connection With Meps </t>
  </si>
  <si>
    <t>on hold</t>
  </si>
  <si>
    <t xml:space="preserve">subjected to migration timing </t>
  </si>
  <si>
    <t>XPI -DR</t>
  </si>
  <si>
    <t>awaiting Mr. Ibrahim feedback</t>
  </si>
  <si>
    <t xml:space="preserve">Soft Pos </t>
  </si>
  <si>
    <t xml:space="preserve">Going on cloud  , working on PCI , we got the CBI approval </t>
  </si>
  <si>
    <t>XPI Maigration</t>
  </si>
  <si>
    <t>on going</t>
  </si>
  <si>
    <t>Testing regarding infinite cards.</t>
  </si>
  <si>
    <t>QR-International</t>
  </si>
  <si>
    <t>Inititiation</t>
  </si>
  <si>
    <t>https://fibtask.atlassian.net/browse/FIBQPR</t>
  </si>
  <si>
    <t>Preparing approving the LOI</t>
  </si>
  <si>
    <t>FIB ISO Audits Reports</t>
  </si>
  <si>
    <t xml:space="preserve">successful renewal of all three ISO certifications (ISO 27001, ISO 22301, and ISO 20000). </t>
  </si>
  <si>
    <t xml:space="preserve">POC - Cash withdrawal </t>
  </si>
  <si>
    <t>to complete the BRD, Planning, waiting kak. Aland direction</t>
  </si>
  <si>
    <t>Gas Station</t>
  </si>
  <si>
    <t>https://fibtask.atlassian.net/browse/FIBXPI-749</t>
  </si>
  <si>
    <t>13.1.2026</t>
  </si>
  <si>
    <t>TBD</t>
  </si>
  <si>
    <t>Medium</t>
  </si>
  <si>
    <t>Ezzat Zalzala</t>
  </si>
  <si>
    <t>The project re-opened to do re-test again.</t>
  </si>
  <si>
    <t xml:space="preserve">The project re-opened again to do re-test </t>
  </si>
  <si>
    <t>Bank-BI Solution including
(DWH, FATCA, BankCM, IFRS9, R.R)</t>
  </si>
  <si>
    <t>https://fibtask.atlassian.net/jira/software/c/projects/FIBIFRS/boards/105?atlOrigin=eyJpIjoiYjlkOWU2MmU0YjFmNDUxY2IzMWY3MTZiMjcwNGE5NTAiLCJwIjoiaiJ9</t>
  </si>
  <si>
    <t>30.01.2024</t>
  </si>
  <si>
    <t>Alaa Al-Smadi</t>
  </si>
  <si>
    <t>Waiting Kak. Ali Othman to fix the issue in the database that has been raised by Pio-Tech</t>
  </si>
  <si>
    <t>GPI Pro</t>
  </si>
  <si>
    <t>https://fibtask.atlassian.net/browse/FIBCRR-130?atlOrigin=eyJpIjoiYmJiNDFjOTc1NGE3NDQ3Mzg5OGUzOTMzNDIzZjBiMjYiLCJwIjoiaiJ9</t>
  </si>
  <si>
    <t xml:space="preserve">We have moved the GPI to live production and now we are testing the GPI observer with SWIFT team </t>
  </si>
  <si>
    <t>Client Risk Rating</t>
  </si>
  <si>
    <t>https://fibtask.atlassian.net/browse/FIBCRR-26?atlOrigin=eyJpIjoiODc4ZGM1YzJmMmUyNDBhY2E5ZGIzZDE4ZTk3NWVjMjEiLCJwIjoiaiJ9</t>
  </si>
  <si>
    <t>17.12.2024</t>
  </si>
  <si>
    <t>Waiting Mr. Abdulrahman Alhayek to provide the IT a sample domestic transfer.</t>
  </si>
  <si>
    <t>​
Waiting Mr. Abdulrahman Alhayek to provide the IT a sample domestic transfer.</t>
  </si>
  <si>
    <t xml:space="preserve">Regulatory Compliance Management (RCM) </t>
  </si>
  <si>
    <t>To be Started</t>
  </si>
  <si>
    <t xml:space="preserve">We have finalized the contract and waiting the stakeholders to confirm the availability to proceed with the kick-off meeting </t>
  </si>
  <si>
    <t>Reconciliation System</t>
  </si>
  <si>
    <t>https://fibtask.atlassian.net/browse/FIBCRR-123?atlOrigin=eyJpIjoiZDNiMTE1YmFmNWQ2NDY1OTk3NTE1NWNiNTMzMjFkODYiLCJwIjoiaiJ9</t>
  </si>
  <si>
    <t>In the vendor evaluation phase.</t>
  </si>
  <si>
    <t>ERP Project</t>
  </si>
  <si>
    <t>https://fibtask.atlassian.net/browse/FIBCRR-164?atlOrigin=eyJpIjoiZmJjMmU0NTNiZjcyNDdjM2IyNjE3ZDg0MGU1NjE4NGYiLCJwIjoiaiJ9</t>
  </si>
  <si>
    <t>The BRD has been shared with the stakeholders and waiting the feedback from them</t>
  </si>
  <si>
    <t>MT2ISO</t>
  </si>
  <si>
    <t>AML Translator</t>
  </si>
  <si>
    <t>FIB – PCI DSS Project (Al Ejabi)​</t>
  </si>
  <si>
    <t>https://fibtask.atlassian.net/browse/FIBXPI-49</t>
  </si>
  <si>
    <t>15/4/2026</t>
  </si>
  <si>
    <t>15/10/2026</t>
  </si>
  <si>
    <t>Rudaw Abdulrahman</t>
  </si>
  <si>
    <r>
      <rPr>
        <sz val="11"/>
        <color rgb="FF000000"/>
        <rFont val="Aptos Narrow"/>
        <scheme val="minor"/>
      </rPr>
      <t xml:space="preserve">We have completed and sent the four requested deliverables:
</t>
    </r>
    <r>
      <rPr>
        <b/>
        <sz val="11"/>
        <color rgb="FF000000"/>
        <rFont val="Aptos Narrow"/>
        <scheme val="minor"/>
      </rPr>
      <t xml:space="preserve">Cardholder Data Matrix
Asset Inventory
Network Diagram
Data Flow Diagram
Gap Assessment phase will start soon.
</t>
    </r>
  </si>
  <si>
    <t>Year 1: $35,970
Year 2: $37,769
Year 3: $39,657</t>
  </si>
  <si>
    <t>We have started Gap Assesment</t>
  </si>
  <si>
    <t>Call Center migration</t>
  </si>
  <si>
    <t>https://fibtask.atlassian.net/jira/software/c/projects/BMBCCM/list</t>
  </si>
  <si>
    <t xml:space="preserve">April 1st </t>
  </si>
  <si>
    <t>BMB Vendor:
· Annual payment: $57,639
· Project implementation cost: $76,495.80
· Payment terms: 50% after equipment delivery, and 50% after project go-live.
Newroz Vendor:
· One-time cost:
    Fiber installation fees for connecting the new branch (Erbil - Ezma - Business Tower): $3,664.12
· Annual cost: $7,419.80</t>
  </si>
  <si>
    <t>48,601,615.200IQD BMB
4,800,000 IQD Newroz</t>
  </si>
  <si>
    <t>48,601,615.200IQD BMB
810,000 IQD/ Monthly Newroz</t>
  </si>
  <si>
    <t>BMB=57639$
12x810,000 IQD Newroz</t>
  </si>
  <si>
    <t>contact center successfully went live, and call testing has been completed. Both inbound and outbound calls are working perfectly. However, the Eleveo installation remains scheduled for tomorrow, after which the remaining quality management and recording features will be fully operational.</t>
  </si>
  <si>
    <t>ZenHR implementation</t>
  </si>
  <si>
    <t>https://fibtask.atlassian.net/jira/software/c/projects/FIBPMO/list</t>
  </si>
  <si>
    <t>27-2-2026</t>
  </si>
  <si>
    <t>Project 1: HRMS Implementation (ZenHR)
Status: In Progress / Partially Deployed
Budget: $27,000.00
Key Milestone Achieved: Daily operational use of core features (Employee Data, Leave, etc.).
Critical Pending Item: Payroll module implementation.
Next Phase: Go-live and validation of Payroll.
Project 2: Attendance System Deployment
Status: Completed
Budget: $3,825.75
Key Milestone Achieved: Hardware installation and system integration completed.
Subscription &amp; Licensing Update (Complete)
Change: +338 employees added to the system.
Status: Completed
Budget/Amount: $5,070 (prorated charge for January 2026)
Effective Date: January 2026</t>
  </si>
  <si>
    <t>\</t>
  </si>
  <si>
    <t>Process Enhancement and Automation</t>
  </si>
  <si>
    <t>https://fibtask.atlassian.net/jira/software/c/projects/FIBPEAP/list</t>
  </si>
  <si>
    <t>1.10.2025</t>
  </si>
  <si>
    <t>Almost all departments sent their BRDs, except for HR due to manager changment, now we started with the development phase and started with Treasury department.</t>
  </si>
  <si>
    <t>$0 (In-House)</t>
  </si>
  <si>
    <t>In-House</t>
  </si>
  <si>
    <t>All departments are within the development phase, except for operations and HR, which will be next week.</t>
  </si>
  <si>
    <t xml:space="preserve">Centralized data warehouse - Gap Analysis </t>
  </si>
  <si>
    <t>https://fibtask.atlassian.net/jira/software/c/projects/FIBGAP/list</t>
  </si>
  <si>
    <t>1.3.2025</t>
  </si>
  <si>
    <t xml:space="preserve">- Gap Analysis – Phase I: Completed
Data collection across all business functions was carried out by Beye Group. As the main outcome of Phase I, the identified gaps were documented along with their corresponding remediation plans.
- Gap Analysis – Phase II: In Progress
Following Beye Group’s final proposal on October 9, with a total cost of $800,064 (including hardware, system implementation, and remediation activities), the proposal was declined.
Two weeks ago, a final agreement was reached with Mr. Aland and Mr. Hazim to execute the remediation plans in-house, and this work is currently underway.
- Updates : Awaiting feedback from Kak Onel for the data collected and sent to Beye group for their results as identification of gaps, after re-analysing their data we will dive deeper into their insights and understand clearly whether their remedy plans placed reasonably and tailored to our bank.
- Budget:
To be determined upon receiving final confirmation from Mr. Hazim.
</t>
  </si>
  <si>
    <t xml:space="preserve">$0 (In-House)
</t>
  </si>
  <si>
    <t>The tasks related to Goran team is on hold while remaining gaps are being progressed.</t>
  </si>
  <si>
    <t>PEPS - EY assessment</t>
  </si>
  <si>
    <t xml:space="preserve">To implement the controls that cover the EY assesment report through the compliance and development teams. </t>
  </si>
  <si>
    <t>0$</t>
  </si>
  <si>
    <t>A meeting scheduled on next Sunday with Ibrahim, Hazim, abdulrhman alhayek and Khalid to discuss the dormancy, onboarding documents and the timeline</t>
  </si>
  <si>
    <t>Cpmpleted</t>
  </si>
  <si>
    <t>21.4.2026</t>
  </si>
  <si>
    <t>The project completed</t>
  </si>
  <si>
    <t>The project is complete.</t>
  </si>
  <si>
    <t>Compliance Predator</t>
  </si>
  <si>
    <t>https://fibtask.atlassian.net/jira/software/c/projects/FIBCGPI/boards/98</t>
  </si>
  <si>
    <t>1.1.2025</t>
  </si>
  <si>
    <t>1.5.2026</t>
  </si>
  <si>
    <t>Ali Zirak</t>
  </si>
  <si>
    <t>Compliance System monitoring, is on Implementation stage 105,000$ has been paid for support and implementation and 200,000$ has been paid for annual license while 45000$ remiainig</t>
  </si>
  <si>
    <t xml:space="preserve">105,000$ + (200,000$ first Year license)
200,000$ Second Year license </t>
  </si>
  <si>
    <t>45000$</t>
  </si>
  <si>
    <t>Project Status:
The first round of testing has been conducted and is currently being reviewed by the Compliance team. Progress continued on the final Predator testing cycle required before go-live. To enable Compliance testing with a clean and controlled dataset, all existing data in Predator needs to be deleted before uploading the new prepared data. The required data has now been prepared and is ready to be uploaded into Predator for the next testing round. In parallel, the System Admin team increased the stage environment capacity by adding 8 additional cores, which should help support the testing activity and improve environment readiness. Once the existing data is removed and the new data is uploaded, Compliance will proceed with reviewing the transactions, validating the triggered alerts, and confirming whether the system is ready from an operational and compliance perspective before go-live.</t>
  </si>
  <si>
    <t>ATMS Project</t>
  </si>
  <si>
    <t xml:space="preserve">Trail Balance As of  </t>
  </si>
  <si>
    <t>LED_CODE</t>
  </si>
  <si>
    <t>LED_Name</t>
  </si>
  <si>
    <t>SUB_ACCT_CODE</t>
  </si>
  <si>
    <t>Tranx Date</t>
  </si>
  <si>
    <t xml:space="preserve">Paid Payments </t>
  </si>
  <si>
    <t>Equavalant Balance</t>
  </si>
  <si>
    <t>Des</t>
  </si>
  <si>
    <t>مشاريع تحت التنفيذ</t>
  </si>
  <si>
    <t>IQD 94,975,000.00</t>
  </si>
  <si>
    <t xml:space="preserve"> شراء 5 اي تي ام مواقع جديدة شمال العراق</t>
  </si>
  <si>
    <t>IQD 46,832,500.00</t>
  </si>
  <si>
    <t xml:space="preserve"> شراء اجهزة اي تي ام عدد 5 اخرى الى مواقع جديدة</t>
  </si>
  <si>
    <t xml:space="preserve"> الدفعة الثانية من كلفة شراء اجهزة اي تي ام عدد 5 اخرى الى مواقع جديدة</t>
  </si>
  <si>
    <t>IQD 18,621,650.00</t>
  </si>
  <si>
    <t xml:space="preserve"> اي تي ام من شركة انفوتك عدد واحد من حساب 1663-28 بتاريخ 25/11/2024</t>
  </si>
  <si>
    <t>Total Balance</t>
  </si>
  <si>
    <t>IQD 207,261,650.00</t>
  </si>
  <si>
    <t> </t>
  </si>
  <si>
    <t>WIP</t>
  </si>
  <si>
    <t>NSY</t>
  </si>
  <si>
    <t>Done</t>
  </si>
  <si>
    <t>ON Hold</t>
  </si>
  <si>
    <t>Approved</t>
  </si>
  <si>
    <t>Budget</t>
  </si>
  <si>
    <t>Actual (Paid)</t>
  </si>
  <si>
    <t xml:space="preserve">Committed </t>
  </si>
  <si>
    <t>Notes</t>
  </si>
  <si>
    <t>Doc Link</t>
  </si>
  <si>
    <t xml:space="preserve">Bill Payment </t>
  </si>
  <si>
    <t xml:space="preserve"> $                                         -  </t>
  </si>
  <si>
    <t xml:space="preserve">EPG [ Payment Gateway ] </t>
  </si>
  <si>
    <t xml:space="preserve">PCI Certification </t>
  </si>
  <si>
    <t>55,643.98 $ . دفعات مقدمة عن مشروع فيزا 2024 2025.pdf</t>
  </si>
  <si>
    <t xml:space="preserve">Oracle Data Base License </t>
  </si>
  <si>
    <t>935,765,265,.300 دفعة شركة اوراكل عن مشروع اكس باي.pdf</t>
  </si>
  <si>
    <t>فاتورة اوراكل $4,197.pdf</t>
  </si>
  <si>
    <t xml:space="preserve">NewLand TMS </t>
  </si>
  <si>
    <t xml:space="preserve">CMS </t>
  </si>
  <si>
    <t>Professional Services l XPI</t>
  </si>
  <si>
    <t>..\..\Downloads\فاتورة شركة جي بيمنت $ 800.pdf</t>
  </si>
  <si>
    <t>HSM</t>
  </si>
  <si>
    <t xml:space="preserve"> $                                -  </t>
  </si>
  <si>
    <t>فاتورة بي ام بي دفعة ثانية واخيرة عن مشروع فيزا $141,583.pdf</t>
  </si>
  <si>
    <t>DC &amp; DR  Infrastructure HW.</t>
  </si>
  <si>
    <t>فاتورة شركة بي ام بي الدفعة الثانية عن مشروع فيزا هارد وير 381,377,040.pdf</t>
  </si>
  <si>
    <t>POS HW (4k over 1year)</t>
  </si>
  <si>
    <t>END Point Implementation VAP + MIP / DC</t>
  </si>
  <si>
    <t>فاتورة شركة ادفكتس عن مشروع فيزا 17,980,000.pdf</t>
  </si>
  <si>
    <t>فاتورة شركة ايرثلنك عن مشروع فيزا 31,444,000.pdf</t>
  </si>
  <si>
    <t>فاتورة شركة حلم المستقبل 10,000,000.pdf</t>
  </si>
  <si>
    <t xml:space="preserve">END Point Implementation VAP + MIP / DR </t>
  </si>
  <si>
    <t xml:space="preserve">Master Card Acquiring License </t>
  </si>
  <si>
    <t>فاتورة شركة فايم عن مشروع فيزا $ 15,600.pdf</t>
  </si>
  <si>
    <t>..\..\Downloads\فاتورة شركة فايم عن مشروع فيزا $ 5,050.pdf</t>
  </si>
  <si>
    <t xml:space="preserve">Duty Travel </t>
  </si>
  <si>
    <t xml:space="preserve">Developer cost </t>
  </si>
  <si>
    <t>Our own data center</t>
  </si>
  <si>
    <t>https://fibadmin.sharepoint.com/:b:/s/FinanceShared/ERPN8bL0BjxNmiHQG6cAv04BrGQPup48B4gdZBFszocr-A?e=UWiBvX</t>
  </si>
  <si>
    <t xml:space="preserve">Opex </t>
  </si>
  <si>
    <t>Committed</t>
  </si>
  <si>
    <t>XPI Maintenance annual cost</t>
  </si>
  <si>
    <t xml:space="preserve">Master Card Acquiring License Annual Fee </t>
  </si>
  <si>
    <t>On Hold</t>
  </si>
  <si>
    <t>Visa  Acquiring License Annual Fee</t>
  </si>
  <si>
    <t xml:space="preserve">HSM Maintenance </t>
  </si>
  <si>
    <t xml:space="preserve">Salaries </t>
  </si>
  <si>
    <t>Visa licensing fees fees</t>
  </si>
  <si>
    <t>License ORACEL</t>
  </si>
  <si>
    <t xml:space="preserve">TMS </t>
  </si>
  <si>
    <t>Visa fees reporting 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</si>
</sst>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48">
    <font>
      <sz val="11"/>
      <color theme="1"/>
      <name val="Aptos Narrow"/>
      <family val="2"/>
      <scheme val="minor"/>
    </font>
    <font>
      <b/>
      <sz val="11"/>
      <color rgb="FFFFFFFF"/>
      <name val="Aptos Narrow"/>
      <scheme val="minor"/>
    </font>
    <font>
      <u/>
      <sz val="11"/>
      <color theme="10"/>
      <name val="Aptos Narrow"/>
      <family val="2"/>
      <scheme val="minor"/>
    </font>
    <font>
      <b/>
      <sz val="11"/>
      <color rgb="FF000000"/>
      <name val="Calibri"/>
      <family val="2"/>
    </font>
    <font>
      <sz val="11"/>
      <color rgb="FF000000"/>
      <name val="Calibri"/>
      <family val="2"/>
    </font>
    <font>
      <b/>
      <u/>
      <sz val="12"/>
      <color rgb="FF3A5A63"/>
      <name val="Calibri Light"/>
      <family val="2"/>
    </font>
    <font>
      <b/>
      <u/>
      <sz val="12"/>
      <color rgb="FF3A5A63"/>
      <name val="Calibri"/>
      <family val="2"/>
    </font>
    <font>
      <b/>
      <sz val="11"/>
      <color rgb="FFC00000"/>
      <name val="Calibri"/>
      <family val="2"/>
    </font>
    <font>
      <b/>
      <sz val="11"/>
      <color rgb="FFFFFFCC"/>
      <name val="Calibri"/>
      <family val="2"/>
    </font>
    <font>
      <b/>
      <sz val="12"/>
      <color rgb="FFFFFFFF"/>
      <name val="Calibri Light"/>
      <family val="2"/>
    </font>
    <font>
      <b/>
      <i/>
      <sz val="12"/>
      <color rgb="FF000000"/>
      <name val="Calibri Light"/>
      <family val="2"/>
    </font>
    <font>
      <b/>
      <u/>
      <sz val="14"/>
      <color rgb="FF203764"/>
      <name val="Calibri"/>
      <family val="2"/>
    </font>
    <font>
      <b/>
      <sz val="11"/>
      <color rgb="FFFFFF99"/>
      <name val="Calibri"/>
      <family val="2"/>
    </font>
    <font>
      <b/>
      <sz val="11"/>
      <color rgb="FF0D0D0D"/>
      <name val="Calibri"/>
      <family val="2"/>
    </font>
    <font>
      <sz val="9"/>
      <color rgb="FF000000"/>
      <name val="Calibri"/>
      <family val="2"/>
    </font>
    <font>
      <sz val="11"/>
      <color rgb="FF70AD47"/>
      <name val="Calibri"/>
      <family val="2"/>
    </font>
    <font>
      <b/>
      <sz val="11"/>
      <color rgb="FF70AD47"/>
      <name val="Calibri"/>
      <family val="2"/>
    </font>
    <font>
      <b/>
      <sz val="11"/>
      <color rgb="FFFF0000"/>
      <name val="Calibri"/>
      <family val="2"/>
    </font>
    <font>
      <b/>
      <sz val="12"/>
      <color rgb="FF000000"/>
      <name val="Calibri Light"/>
      <family val="2"/>
    </font>
    <font>
      <sz val="11"/>
      <color rgb="FFBFBFBF"/>
      <name val="Calibri"/>
      <family val="2"/>
    </font>
    <font>
      <sz val="11"/>
      <color rgb="FF262626"/>
      <name val="Calibri"/>
      <family val="2"/>
    </font>
    <font>
      <b/>
      <sz val="16"/>
      <color theme="1"/>
      <name val="Aptos Narrow"/>
      <family val="2"/>
      <scheme val="minor"/>
    </font>
    <font>
      <b/>
      <sz val="11"/>
      <color theme="0"/>
      <name val="Aptos Narrow"/>
      <family val="2"/>
      <scheme val="minor"/>
    </font>
    <font>
      <sz val="11"/>
      <color rgb="FF000000"/>
      <name val="Aptos Narrow"/>
      <scheme val="minor"/>
    </font>
    <font>
      <sz val="11"/>
      <color rgb="FF000000"/>
      <name val="Aptos Narrow"/>
      <family val="2"/>
      <scheme val="minor"/>
    </font>
    <font>
      <b/>
      <sz val="11"/>
      <color theme="1"/>
      <name val="Aptos Narrow"/>
      <family val="2"/>
      <scheme val="minor"/>
    </font>
    <font>
      <sz val="18"/>
      <color theme="1"/>
      <name val="Aptos Narrow"/>
      <family val="2"/>
      <scheme val="minor"/>
    </font>
    <font>
      <sz val="18"/>
      <color theme="1"/>
      <name val="Segoe UI"/>
      <family val="2"/>
    </font>
    <font>
      <sz val="18"/>
      <color theme="1"/>
      <name val="Consolas"/>
      <family val="3"/>
    </font>
    <font>
      <b/>
      <sz val="18"/>
      <color theme="1"/>
      <name val="Aptos Narrow"/>
      <family val="2"/>
      <scheme val="minor"/>
    </font>
    <font>
      <b/>
      <sz val="18"/>
      <color theme="1"/>
      <name val="Segoe UI"/>
      <family val="2"/>
    </font>
    <font>
      <b/>
      <i/>
      <sz val="18"/>
      <color theme="1"/>
      <name val="Aptos Narrow"/>
      <family val="2"/>
      <scheme val="minor"/>
    </font>
    <font>
      <b/>
      <i/>
      <sz val="18"/>
      <color theme="1"/>
      <name val="Segoe UI"/>
      <family val="2"/>
    </font>
    <font>
      <b/>
      <i/>
      <sz val="18"/>
      <color theme="1"/>
      <name val="Consolas"/>
      <family val="3"/>
    </font>
    <font>
      <b/>
      <sz val="24"/>
      <color rgb="FF0F1115"/>
      <name val="Segoe UI"/>
      <family val="2"/>
    </font>
    <font>
      <b/>
      <sz val="24"/>
      <color theme="1"/>
      <name val="Aptos Narrow"/>
      <family val="2"/>
      <scheme val="minor"/>
    </font>
    <font>
      <b/>
      <i/>
      <sz val="24"/>
      <color theme="1"/>
      <name val="Aptos Narrow"/>
      <family val="2"/>
      <scheme val="minor"/>
    </font>
    <font>
      <sz val="11"/>
      <color rgb="FF000000"/>
      <name val="Aptos Narrow"/>
      <family val="2"/>
    </font>
    <font>
      <b/>
      <sz val="20"/>
      <color theme="1"/>
      <name val="Aptos Narrow"/>
      <family val="2"/>
      <scheme val="minor"/>
    </font>
    <font>
      <b/>
      <sz val="20"/>
      <color theme="1"/>
      <name val="Segoe UI"/>
      <family val="2"/>
    </font>
    <font>
      <b/>
      <sz val="20"/>
      <color theme="1"/>
      <name val="Consolas"/>
      <family val="3"/>
    </font>
    <font>
      <b/>
      <u/>
      <sz val="12"/>
      <color theme="1"/>
      <name val="Aptos Narrow"/>
      <family val="2"/>
      <scheme val="minor"/>
    </font>
    <font>
      <u/>
      <sz val="12"/>
      <color theme="1"/>
      <name val="Aptos Narrow"/>
      <family val="2"/>
      <scheme val="minor"/>
    </font>
    <font>
      <b/>
      <u/>
      <sz val="12"/>
      <color rgb="FFFFFFFF"/>
      <name val="Aptos Narrow"/>
      <scheme val="minor"/>
    </font>
    <font>
      <b/>
      <u/>
      <sz val="12"/>
      <color theme="0"/>
      <name val="Aptos Narrow"/>
      <family val="2"/>
      <scheme val="minor"/>
    </font>
    <font>
      <b/>
      <sz val="11"/>
      <color theme="1" tint="4.9989318521683403E-2"/>
      <name val="Aptos Narrow"/>
      <family val="2"/>
      <scheme val="minor"/>
    </font>
    <font>
      <b/>
      <sz val="11"/>
      <color rgb="FF000000"/>
      <name val="Aptos Narrow"/>
      <scheme val="minor"/>
    </font>
    <font>
      <u/>
      <sz val="12"/>
      <color theme="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E6EEF0"/>
        <bgColor rgb="FF000000"/>
      </patternFill>
    </fill>
    <fill>
      <patternFill patternType="solid">
        <fgColor rgb="FF1A4A5E"/>
        <bgColor rgb="FF000000"/>
      </patternFill>
    </fill>
    <fill>
      <patternFill patternType="solid">
        <fgColor rgb="FF0070C0"/>
        <bgColor rgb="FF000000"/>
      </patternFill>
    </fill>
    <fill>
      <patternFill patternType="solid">
        <fgColor rgb="FF595959"/>
        <bgColor rgb="FF000000"/>
      </patternFill>
    </fill>
    <fill>
      <patternFill patternType="solid">
        <fgColor rgb="FF92D050"/>
        <bgColor rgb="FF000000"/>
      </patternFill>
    </fill>
    <fill>
      <patternFill patternType="solid">
        <fgColor rgb="FFFFFF00"/>
        <bgColor rgb="FF000000"/>
      </patternFill>
    </fill>
    <fill>
      <patternFill patternType="solid">
        <fgColor rgb="FF203764"/>
        <bgColor rgb="FF000000"/>
      </patternFill>
    </fill>
    <fill>
      <patternFill patternType="solid">
        <fgColor rgb="FFF2F2F2"/>
        <bgColor rgb="FF000000"/>
      </patternFill>
    </fill>
    <fill>
      <patternFill patternType="solid">
        <fgColor rgb="FFFFFFFF"/>
        <bgColor rgb="FF000000"/>
      </patternFill>
    </fill>
    <fill>
      <patternFill patternType="solid">
        <fgColor rgb="FFD9E1F2"/>
        <bgColor rgb="FF000000"/>
      </patternFill>
    </fill>
    <fill>
      <patternFill patternType="solid">
        <fgColor theme="9" tint="-0.499984740745262"/>
        <bgColor indexed="64"/>
      </patternFill>
    </fill>
    <fill>
      <patternFill patternType="solid">
        <fgColor rgb="FFC0F1C8"/>
        <bgColor indexed="64"/>
      </patternFill>
    </fill>
    <fill>
      <patternFill patternType="solid">
        <fgColor theme="9" tint="0.59999389629810485"/>
        <bgColor indexed="64"/>
      </patternFill>
    </fill>
    <fill>
      <patternFill patternType="solid">
        <fgColor theme="2"/>
        <bgColor indexed="64"/>
      </patternFill>
    </fill>
    <fill>
      <patternFill patternType="solid">
        <fgColor rgb="FF00D2A0"/>
        <bgColor indexed="64"/>
      </patternFill>
    </fill>
    <fill>
      <patternFill patternType="solid">
        <fgColor rgb="FFCEFAE0"/>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theme="6"/>
      </bottom>
      <diagonal/>
    </border>
    <border>
      <left style="thin">
        <color rgb="FF000000"/>
      </left>
      <right style="thin">
        <color rgb="FF000000"/>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top style="thin">
        <color indexed="64"/>
      </top>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theme="6"/>
      </top>
      <bottom style="thin">
        <color rgb="FF000000"/>
      </bottom>
      <diagonal/>
    </border>
    <border>
      <left/>
      <right/>
      <top style="thin">
        <color rgb="FF000000"/>
      </top>
      <bottom/>
      <diagonal/>
    </border>
  </borders>
  <cellStyleXfs count="2">
    <xf numFmtId="0" fontId="0" fillId="0" borderId="0"/>
    <xf numFmtId="0" fontId="2" fillId="0" borderId="0" applyNumberFormat="0" applyFill="0" applyBorder="0" applyAlignment="0" applyProtection="0"/>
  </cellStyleXfs>
  <cellXfs count="195">
    <xf numFmtId="0" fontId="0" fillId="0" borderId="0" xfId="0"/>
    <xf numFmtId="0" fontId="0" fillId="0" borderId="1" xfId="0" applyBorder="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0" fontId="4" fillId="0" borderId="0" xfId="0" applyFont="1"/>
    <xf numFmtId="15" fontId="6" fillId="0" borderId="0" xfId="0" applyNumberFormat="1" applyFont="1"/>
    <xf numFmtId="6" fontId="7" fillId="0" borderId="0" xfId="0" applyNumberFormat="1" applyFont="1" applyAlignment="1">
      <alignment wrapText="1"/>
    </xf>
    <xf numFmtId="0" fontId="4" fillId="0" borderId="0" xfId="0" applyFont="1" applyAlignment="1">
      <alignment wrapText="1"/>
    </xf>
    <xf numFmtId="0" fontId="8" fillId="4" borderId="7" xfId="0" applyFont="1" applyFill="1" applyBorder="1" applyAlignment="1">
      <alignment wrapText="1"/>
    </xf>
    <xf numFmtId="0" fontId="8" fillId="4" borderId="11" xfId="0" applyFont="1" applyFill="1" applyBorder="1" applyAlignment="1">
      <alignment wrapText="1"/>
    </xf>
    <xf numFmtId="0" fontId="4" fillId="0" borderId="12" xfId="0" applyFont="1" applyBorder="1"/>
    <xf numFmtId="0" fontId="4" fillId="0" borderId="13" xfId="0" applyFont="1" applyBorder="1" applyAlignment="1">
      <alignment readingOrder="2"/>
    </xf>
    <xf numFmtId="0" fontId="4" fillId="0" borderId="13" xfId="0" applyFont="1" applyBorder="1"/>
    <xf numFmtId="15" fontId="4" fillId="0" borderId="13" xfId="0" applyNumberFormat="1" applyFont="1" applyBorder="1"/>
    <xf numFmtId="6" fontId="4" fillId="0" borderId="13" xfId="0" applyNumberFormat="1" applyFont="1" applyBorder="1"/>
    <xf numFmtId="0" fontId="3" fillId="3" borderId="13" xfId="0" applyFont="1" applyFill="1" applyBorder="1" applyAlignment="1">
      <alignment wrapText="1"/>
    </xf>
    <xf numFmtId="6" fontId="3" fillId="3" borderId="13" xfId="0" applyNumberFormat="1" applyFont="1" applyFill="1" applyBorder="1" applyAlignment="1">
      <alignment wrapText="1"/>
    </xf>
    <xf numFmtId="0" fontId="4" fillId="3" borderId="13" xfId="0" applyFont="1" applyFill="1" applyBorder="1"/>
    <xf numFmtId="0" fontId="9" fillId="5" borderId="7" xfId="0" applyFont="1" applyFill="1" applyBorder="1"/>
    <xf numFmtId="0" fontId="9" fillId="6" borderId="7" xfId="0" applyFont="1" applyFill="1" applyBorder="1"/>
    <xf numFmtId="0" fontId="9" fillId="7" borderId="7" xfId="0" applyFont="1" applyFill="1" applyBorder="1"/>
    <xf numFmtId="0" fontId="10" fillId="8" borderId="7" xfId="0" applyFont="1" applyFill="1" applyBorder="1"/>
    <xf numFmtId="0" fontId="11" fillId="0" borderId="0" xfId="0" applyFont="1"/>
    <xf numFmtId="0" fontId="12" fillId="9" borderId="7" xfId="0" applyFont="1" applyFill="1" applyBorder="1"/>
    <xf numFmtId="0" fontId="12" fillId="9" borderId="11" xfId="0" applyFont="1" applyFill="1" applyBorder="1" applyAlignment="1">
      <alignment wrapText="1"/>
    </xf>
    <xf numFmtId="0" fontId="12" fillId="9" borderId="13" xfId="0" applyFont="1" applyFill="1" applyBorder="1"/>
    <xf numFmtId="0" fontId="3" fillId="0" borderId="12" xfId="0" applyFont="1" applyBorder="1"/>
    <xf numFmtId="6" fontId="13" fillId="0" borderId="13" xfId="0" applyNumberFormat="1" applyFont="1" applyBorder="1"/>
    <xf numFmtId="0" fontId="13" fillId="10" borderId="13" xfId="0" applyFont="1" applyFill="1" applyBorder="1"/>
    <xf numFmtId="0" fontId="14" fillId="0" borderId="13" xfId="0" applyFont="1" applyBorder="1" applyAlignment="1">
      <alignment wrapText="1"/>
    </xf>
    <xf numFmtId="6" fontId="13" fillId="10" borderId="13" xfId="0" applyNumberFormat="1" applyFont="1" applyFill="1" applyBorder="1"/>
    <xf numFmtId="0" fontId="2" fillId="0" borderId="13" xfId="1" applyFill="1" applyBorder="1" applyAlignment="1">
      <alignment wrapText="1"/>
    </xf>
    <xf numFmtId="0" fontId="2" fillId="0" borderId="13" xfId="1" applyFill="1" applyBorder="1" applyAlignment="1">
      <alignment wrapText="1" readingOrder="2"/>
    </xf>
    <xf numFmtId="6" fontId="15" fillId="0" borderId="13" xfId="0" applyNumberFormat="1" applyFont="1" applyBorder="1"/>
    <xf numFmtId="6" fontId="16" fillId="0" borderId="13" xfId="0" applyNumberFormat="1" applyFont="1" applyBorder="1"/>
    <xf numFmtId="0" fontId="3" fillId="0" borderId="13" xfId="0" applyFont="1" applyBorder="1"/>
    <xf numFmtId="6" fontId="3" fillId="0" borderId="13" xfId="0" applyNumberFormat="1" applyFont="1" applyBorder="1"/>
    <xf numFmtId="0" fontId="17" fillId="0" borderId="12" xfId="0" applyFont="1" applyBorder="1"/>
    <xf numFmtId="6" fontId="17" fillId="0" borderId="13" xfId="0" applyNumberFormat="1" applyFont="1" applyBorder="1"/>
    <xf numFmtId="0" fontId="3" fillId="11" borderId="0" xfId="0" applyFont="1" applyFill="1"/>
    <xf numFmtId="0" fontId="17" fillId="11" borderId="0" xfId="0" applyFont="1" applyFill="1"/>
    <xf numFmtId="0" fontId="12" fillId="9" borderId="12" xfId="0" applyFont="1" applyFill="1" applyBorder="1"/>
    <xf numFmtId="0" fontId="12" fillId="9" borderId="11" xfId="0" applyFont="1" applyFill="1" applyBorder="1"/>
    <xf numFmtId="0" fontId="4" fillId="11" borderId="0" xfId="0" applyFont="1" applyFill="1"/>
    <xf numFmtId="0" fontId="4" fillId="11" borderId="12" xfId="0" applyFont="1" applyFill="1" applyBorder="1"/>
    <xf numFmtId="6" fontId="4" fillId="11" borderId="13" xfId="0" applyNumberFormat="1" applyFont="1" applyFill="1" applyBorder="1"/>
    <xf numFmtId="0" fontId="4" fillId="12" borderId="13" xfId="0" applyFont="1" applyFill="1" applyBorder="1"/>
    <xf numFmtId="0" fontId="18" fillId="8" borderId="7" xfId="0" applyFont="1" applyFill="1" applyBorder="1"/>
    <xf numFmtId="0" fontId="19" fillId="11" borderId="0" xfId="0" applyFont="1" applyFill="1"/>
    <xf numFmtId="0" fontId="4" fillId="10" borderId="12" xfId="0" applyFont="1" applyFill="1" applyBorder="1"/>
    <xf numFmtId="6" fontId="4" fillId="10" borderId="13" xfId="0" applyNumberFormat="1" applyFont="1" applyFill="1" applyBorder="1"/>
    <xf numFmtId="6" fontId="4" fillId="12" borderId="13" xfId="0" applyNumberFormat="1" applyFont="1" applyFill="1" applyBorder="1"/>
    <xf numFmtId="0" fontId="20" fillId="8" borderId="12" xfId="0" applyFont="1" applyFill="1" applyBorder="1"/>
    <xf numFmtId="6" fontId="4" fillId="8" borderId="13" xfId="0" applyNumberFormat="1" applyFont="1" applyFill="1" applyBorder="1"/>
    <xf numFmtId="0" fontId="21" fillId="0" borderId="0" xfId="0" applyFont="1"/>
    <xf numFmtId="0" fontId="0" fillId="0" borderId="1" xfId="0" applyBorder="1" applyAlignment="1">
      <alignment horizontal="left" vertical="center"/>
    </xf>
    <xf numFmtId="0" fontId="0" fillId="2" borderId="1" xfId="0"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9" xfId="0" applyBorder="1" applyAlignment="1">
      <alignment horizontal="left" vertical="center"/>
    </xf>
    <xf numFmtId="6" fontId="3" fillId="3" borderId="7" xfId="0" applyNumberFormat="1" applyFont="1" applyFill="1" applyBorder="1" applyAlignment="1">
      <alignment horizontal="center" vertical="center" wrapText="1"/>
    </xf>
    <xf numFmtId="0" fontId="0" fillId="0" borderId="10" xfId="0" applyBorder="1" applyAlignment="1">
      <alignment horizontal="left" vertical="center"/>
    </xf>
    <xf numFmtId="6" fontId="3" fillId="0" borderId="7" xfId="0" applyNumberFormat="1" applyFont="1" applyBorder="1" applyAlignment="1">
      <alignment horizontal="center" vertical="center" wrapText="1"/>
    </xf>
    <xf numFmtId="0" fontId="0" fillId="0" borderId="1" xfId="0" applyBorder="1" applyAlignment="1">
      <alignment horizontal="left" vertical="center" wrapText="1"/>
    </xf>
    <xf numFmtId="6" fontId="0" fillId="0" borderId="1" xfId="0" applyNumberFormat="1" applyBorder="1" applyAlignment="1">
      <alignment horizontal="center" vertical="center"/>
    </xf>
    <xf numFmtId="6" fontId="0" fillId="0" borderId="1" xfId="0" applyNumberFormat="1" applyBorder="1" applyAlignment="1">
      <alignment horizontal="center" vertical="center" wrapText="1"/>
    </xf>
    <xf numFmtId="0" fontId="0" fillId="0" borderId="1" xfId="0" applyBorder="1" applyAlignment="1">
      <alignment horizontal="left" vertical="top" wrapText="1"/>
    </xf>
    <xf numFmtId="0" fontId="25" fillId="0" borderId="1" xfId="0" applyFont="1" applyBorder="1" applyAlignment="1">
      <alignment horizontal="center" vertical="center"/>
    </xf>
    <xf numFmtId="0" fontId="0" fillId="13" borderId="1" xfId="0" applyFill="1" applyBorder="1" applyAlignment="1">
      <alignment horizontal="left" vertical="center"/>
    </xf>
    <xf numFmtId="0" fontId="0" fillId="13" borderId="1" xfId="0" applyFill="1" applyBorder="1" applyAlignment="1">
      <alignment horizontal="center" vertical="center"/>
    </xf>
    <xf numFmtId="0" fontId="0" fillId="13" borderId="0" xfId="0" applyFill="1" applyAlignment="1">
      <alignment horizontal="center" vertical="center"/>
    </xf>
    <xf numFmtId="0" fontId="0" fillId="13" borderId="0" xfId="0" applyFill="1" applyAlignment="1">
      <alignment vertical="center"/>
    </xf>
    <xf numFmtId="0" fontId="0" fillId="13" borderId="2" xfId="0" applyFill="1" applyBorder="1" applyAlignment="1">
      <alignment horizontal="center" vertical="center"/>
    </xf>
    <xf numFmtId="0" fontId="0" fillId="13" borderId="3" xfId="0" applyFill="1" applyBorder="1" applyAlignment="1">
      <alignment horizontal="center" vertical="center"/>
    </xf>
    <xf numFmtId="0" fontId="0" fillId="13" borderId="5" xfId="0" applyFill="1" applyBorder="1" applyAlignment="1">
      <alignment horizontal="center" vertical="center"/>
    </xf>
    <xf numFmtId="0" fontId="1" fillId="13" borderId="3" xfId="0" applyFont="1" applyFill="1" applyBorder="1" applyAlignment="1">
      <alignment horizontal="center" vertical="center"/>
    </xf>
    <xf numFmtId="0" fontId="22" fillId="13" borderId="3" xfId="0" applyFont="1" applyFill="1" applyBorder="1" applyAlignment="1">
      <alignment horizontal="center" vertical="center"/>
    </xf>
    <xf numFmtId="0" fontId="0" fillId="0" borderId="17" xfId="0" applyBorder="1" applyAlignment="1">
      <alignment horizontal="center" vertical="center"/>
    </xf>
    <xf numFmtId="0" fontId="22" fillId="13" borderId="8" xfId="0" applyFont="1" applyFill="1" applyBorder="1" applyAlignment="1">
      <alignment horizontal="center" vertical="center"/>
    </xf>
    <xf numFmtId="6" fontId="3" fillId="0" borderId="14" xfId="0" applyNumberFormat="1" applyFont="1" applyBorder="1" applyAlignment="1">
      <alignment horizontal="center" vertical="center" wrapText="1"/>
    </xf>
    <xf numFmtId="0" fontId="25" fillId="0" borderId="0" xfId="0" applyFont="1" applyAlignment="1">
      <alignment horizontal="center" vertical="center"/>
    </xf>
    <xf numFmtId="0" fontId="25" fillId="0" borderId="8" xfId="0" applyFont="1" applyBorder="1" applyAlignment="1">
      <alignment horizontal="center" vertical="center"/>
    </xf>
    <xf numFmtId="0" fontId="25" fillId="0" borderId="1" xfId="0" applyFont="1" applyBorder="1" applyAlignment="1">
      <alignment horizontal="center" vertical="center" wrapText="1"/>
    </xf>
    <xf numFmtId="0" fontId="25" fillId="13" borderId="2" xfId="0" applyFont="1" applyFill="1" applyBorder="1" applyAlignment="1">
      <alignment horizontal="center" vertical="center"/>
    </xf>
    <xf numFmtId="0" fontId="25" fillId="13" borderId="1" xfId="0" applyFont="1" applyFill="1" applyBorder="1" applyAlignment="1">
      <alignment horizontal="center" vertical="center"/>
    </xf>
    <xf numFmtId="0" fontId="0" fillId="13" borderId="3" xfId="0" applyFill="1" applyBorder="1" applyAlignment="1">
      <alignment horizontal="left" vertical="center"/>
    </xf>
    <xf numFmtId="0" fontId="0" fillId="13" borderId="2" xfId="0" applyFill="1" applyBorder="1" applyAlignment="1">
      <alignment horizontal="left" vertical="center"/>
    </xf>
    <xf numFmtId="0" fontId="25" fillId="15" borderId="8" xfId="0" applyFont="1" applyFill="1" applyBorder="1" applyAlignment="1">
      <alignment horizontal="center" vertical="center"/>
    </xf>
    <xf numFmtId="0" fontId="0" fillId="15" borderId="1" xfId="0" applyFill="1" applyBorder="1" applyAlignment="1">
      <alignment horizontal="center" vertical="center"/>
    </xf>
    <xf numFmtId="0" fontId="0" fillId="15" borderId="10" xfId="0" applyFill="1" applyBorder="1" applyAlignment="1">
      <alignment horizontal="left" vertical="center"/>
    </xf>
    <xf numFmtId="0" fontId="0" fillId="15" borderId="17" xfId="0" applyFill="1" applyBorder="1" applyAlignment="1">
      <alignment horizontal="center" vertical="center"/>
    </xf>
    <xf numFmtId="0" fontId="25" fillId="15" borderId="1" xfId="0" applyFont="1" applyFill="1" applyBorder="1" applyAlignment="1">
      <alignment horizontal="center" vertical="center" wrapText="1"/>
    </xf>
    <xf numFmtId="0" fontId="0" fillId="15" borderId="3" xfId="0" applyFill="1" applyBorder="1" applyAlignment="1">
      <alignment horizontal="center" vertical="center"/>
    </xf>
    <xf numFmtId="0" fontId="0" fillId="15" borderId="1" xfId="0" applyFill="1" applyBorder="1" applyAlignment="1">
      <alignment horizontal="left" vertical="center"/>
    </xf>
    <xf numFmtId="0" fontId="0" fillId="15" borderId="8" xfId="0" applyFill="1" applyBorder="1" applyAlignment="1">
      <alignment horizontal="left" vertical="center"/>
    </xf>
    <xf numFmtId="0" fontId="25" fillId="15"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 xfId="0" applyFill="1" applyBorder="1" applyAlignment="1">
      <alignment horizontal="left" vertical="center" wrapText="1"/>
    </xf>
    <xf numFmtId="6" fontId="3" fillId="15" borderId="6" xfId="0" applyNumberFormat="1" applyFont="1" applyFill="1" applyBorder="1" applyAlignment="1">
      <alignment horizontal="center" vertical="center"/>
    </xf>
    <xf numFmtId="6" fontId="0" fillId="15" borderId="18" xfId="0" applyNumberFormat="1" applyFill="1" applyBorder="1" applyAlignment="1">
      <alignment horizontal="center" vertical="center" wrapText="1"/>
    </xf>
    <xf numFmtId="0" fontId="25" fillId="2" borderId="1" xfId="0" applyFont="1" applyFill="1" applyBorder="1" applyAlignment="1">
      <alignment horizontal="center" vertical="center"/>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left" vertical="center"/>
    </xf>
    <xf numFmtId="0" fontId="25" fillId="15" borderId="1" xfId="0" applyFont="1" applyFill="1" applyBorder="1" applyAlignment="1">
      <alignment horizontal="center" vertical="center"/>
    </xf>
    <xf numFmtId="6" fontId="3" fillId="15" borderId="7" xfId="0" applyNumberFormat="1" applyFont="1" applyFill="1" applyBorder="1" applyAlignment="1">
      <alignment horizontal="center" vertical="center" wrapText="1"/>
    </xf>
    <xf numFmtId="0" fontId="25" fillId="2" borderId="1" xfId="0" applyFont="1" applyFill="1" applyBorder="1" applyAlignment="1">
      <alignment horizontal="center" vertical="center" wrapText="1"/>
    </xf>
    <xf numFmtId="14" fontId="0" fillId="2" borderId="1" xfId="0" applyNumberFormat="1" applyFill="1" applyBorder="1" applyAlignment="1">
      <alignment horizontal="center" vertical="center"/>
    </xf>
    <xf numFmtId="0" fontId="2" fillId="0" borderId="1" xfId="1" applyBorder="1" applyAlignment="1">
      <alignment horizontal="center" vertical="center"/>
    </xf>
    <xf numFmtId="9" fontId="0" fillId="15" borderId="3" xfId="0" applyNumberFormat="1" applyFill="1" applyBorder="1" applyAlignment="1">
      <alignment horizontal="center" vertical="center"/>
    </xf>
    <xf numFmtId="9" fontId="0" fillId="0" borderId="1" xfId="0" applyNumberFormat="1" applyBorder="1" applyAlignment="1">
      <alignment horizontal="center" vertical="center"/>
    </xf>
    <xf numFmtId="9" fontId="2" fillId="0" borderId="1" xfId="1" applyNumberFormat="1" applyBorder="1" applyAlignment="1">
      <alignment horizontal="center" vertical="center"/>
    </xf>
    <xf numFmtId="9" fontId="0" fillId="15" borderId="1" xfId="0" applyNumberFormat="1" applyFill="1" applyBorder="1" applyAlignment="1">
      <alignment horizontal="center" vertical="center"/>
    </xf>
    <xf numFmtId="9" fontId="0" fillId="2" borderId="1" xfId="0" applyNumberFormat="1" applyFill="1" applyBorder="1" applyAlignment="1">
      <alignment horizontal="center" vertical="center"/>
    </xf>
    <xf numFmtId="9" fontId="0" fillId="0" borderId="3" xfId="0" applyNumberFormat="1" applyBorder="1" applyAlignment="1">
      <alignment horizontal="center" vertical="center"/>
    </xf>
    <xf numFmtId="0" fontId="2" fillId="0" borderId="3" xfId="1" applyBorder="1" applyAlignment="1">
      <alignment horizontal="center" vertical="center"/>
    </xf>
    <xf numFmtId="0" fontId="26" fillId="0" borderId="0" xfId="0" applyFont="1"/>
    <xf numFmtId="0" fontId="29" fillId="14" borderId="0" xfId="0" applyFont="1" applyFill="1" applyAlignment="1">
      <alignment horizontal="center"/>
    </xf>
    <xf numFmtId="0" fontId="28" fillId="18" borderId="0" xfId="0" applyFont="1" applyFill="1" applyAlignment="1">
      <alignment horizontal="right" wrapText="1"/>
    </xf>
    <xf numFmtId="0" fontId="26" fillId="18" borderId="0" xfId="0" applyFont="1" applyFill="1" applyAlignment="1">
      <alignment horizontal="right"/>
    </xf>
    <xf numFmtId="0" fontId="29" fillId="0" borderId="0" xfId="0" applyFont="1" applyAlignment="1">
      <alignment horizontal="center"/>
    </xf>
    <xf numFmtId="0" fontId="29" fillId="2" borderId="0" xfId="0" applyFont="1" applyFill="1" applyAlignment="1">
      <alignment horizontal="center"/>
    </xf>
    <xf numFmtId="0" fontId="27" fillId="2" borderId="0" xfId="0" applyFont="1" applyFill="1" applyAlignment="1">
      <alignment horizontal="left" vertical="center" wrapText="1" indent="1"/>
    </xf>
    <xf numFmtId="0" fontId="26" fillId="2" borderId="0" xfId="0" applyFont="1" applyFill="1"/>
    <xf numFmtId="0" fontId="28" fillId="2" borderId="0" xfId="0" applyFont="1" applyFill="1" applyAlignment="1">
      <alignment horizontal="right" vertical="center" wrapText="1" indent="1"/>
    </xf>
    <xf numFmtId="9" fontId="31" fillId="18" borderId="0" xfId="0" applyNumberFormat="1" applyFont="1" applyFill="1" applyAlignment="1">
      <alignment horizontal="left" vertical="center" indent="4"/>
    </xf>
    <xf numFmtId="9" fontId="32" fillId="18" borderId="0" xfId="0" applyNumberFormat="1" applyFont="1" applyFill="1" applyAlignment="1">
      <alignment horizontal="left" vertical="center" wrapText="1" indent="4"/>
    </xf>
    <xf numFmtId="9" fontId="33" fillId="18" borderId="0" xfId="0" applyNumberFormat="1" applyFont="1" applyFill="1" applyAlignment="1">
      <alignment horizontal="left" vertical="center" wrapText="1" indent="4"/>
    </xf>
    <xf numFmtId="0" fontId="27" fillId="2" borderId="0" xfId="0" applyFont="1" applyFill="1" applyAlignment="1">
      <alignment horizontal="right" vertical="center" wrapText="1" indent="1"/>
    </xf>
    <xf numFmtId="0" fontId="37" fillId="0" borderId="1" xfId="0" applyFont="1" applyBorder="1" applyAlignment="1">
      <alignment horizontal="center" vertical="center" wrapText="1"/>
    </xf>
    <xf numFmtId="0" fontId="29" fillId="17" borderId="0" xfId="0" applyFont="1" applyFill="1" applyAlignment="1">
      <alignment horizontal="center" vertical="center"/>
    </xf>
    <xf numFmtId="0" fontId="30" fillId="17" borderId="0" xfId="0" applyFont="1" applyFill="1" applyAlignment="1">
      <alignment horizontal="center" vertical="center" wrapText="1" indent="1"/>
    </xf>
    <xf numFmtId="0" fontId="38" fillId="16" borderId="0" xfId="0" applyFont="1" applyFill="1" applyAlignment="1">
      <alignment horizontal="center" vertical="center"/>
    </xf>
    <xf numFmtId="0" fontId="40" fillId="16" borderId="0" xfId="0" applyFont="1" applyFill="1" applyAlignment="1">
      <alignment horizontal="center" vertical="center" wrapText="1"/>
    </xf>
    <xf numFmtId="0" fontId="0" fillId="15" borderId="0" xfId="0" applyFill="1" applyAlignment="1">
      <alignment vertical="center"/>
    </xf>
    <xf numFmtId="6" fontId="3" fillId="15" borderId="14" xfId="0" applyNumberFormat="1" applyFont="1" applyFill="1" applyBorder="1" applyAlignment="1">
      <alignment horizontal="center" vertical="center" wrapText="1"/>
    </xf>
    <xf numFmtId="0" fontId="0" fillId="15" borderId="3" xfId="0" applyFill="1" applyBorder="1" applyAlignment="1">
      <alignment horizontal="left" vertical="center"/>
    </xf>
    <xf numFmtId="0" fontId="2" fillId="15" borderId="1" xfId="1" applyFill="1" applyBorder="1" applyAlignment="1">
      <alignment horizontal="center" vertical="center"/>
    </xf>
    <xf numFmtId="17" fontId="0" fillId="15" borderId="1" xfId="0" applyNumberFormat="1" applyFill="1" applyBorder="1" applyAlignment="1">
      <alignment horizontal="center" vertical="center"/>
    </xf>
    <xf numFmtId="0" fontId="0" fillId="15" borderId="1" xfId="0" applyFill="1" applyBorder="1" applyAlignment="1">
      <alignment horizontal="center" vertical="center" wrapText="1"/>
    </xf>
    <xf numFmtId="0" fontId="2" fillId="15" borderId="3" xfId="1" applyFill="1" applyBorder="1" applyAlignment="1">
      <alignment horizontal="center" vertical="center"/>
    </xf>
    <xf numFmtId="17" fontId="0" fillId="15" borderId="3" xfId="0" applyNumberFormat="1" applyFill="1" applyBorder="1" applyAlignment="1">
      <alignment horizontal="center" vertical="center"/>
    </xf>
    <xf numFmtId="0" fontId="0" fillId="15" borderId="4" xfId="0" applyFill="1" applyBorder="1" applyAlignment="1">
      <alignment horizontal="center" vertical="center"/>
    </xf>
    <xf numFmtId="0" fontId="24" fillId="15" borderId="1" xfId="0" applyFont="1" applyFill="1" applyBorder="1" applyAlignment="1">
      <alignment horizontal="left" vertical="center" wrapText="1"/>
    </xf>
    <xf numFmtId="164" fontId="0" fillId="15" borderId="1" xfId="0" applyNumberFormat="1" applyFill="1" applyBorder="1" applyAlignment="1">
      <alignment horizontal="center" vertical="center"/>
    </xf>
    <xf numFmtId="164" fontId="0" fillId="15" borderId="17" xfId="0" applyNumberFormat="1" applyFill="1" applyBorder="1" applyAlignment="1">
      <alignment horizontal="center" vertical="center"/>
    </xf>
    <xf numFmtId="0" fontId="23" fillId="15" borderId="1" xfId="0" applyFont="1" applyFill="1" applyBorder="1" applyAlignment="1">
      <alignment horizontal="left" vertical="center" wrapText="1"/>
    </xf>
    <xf numFmtId="0" fontId="0" fillId="15" borderId="0" xfId="0" applyFill="1" applyAlignment="1">
      <alignment horizontal="center" vertical="center"/>
    </xf>
    <xf numFmtId="0" fontId="41" fillId="13" borderId="1" xfId="0" applyFont="1" applyFill="1" applyBorder="1" applyAlignment="1">
      <alignment horizontal="center" vertical="center"/>
    </xf>
    <xf numFmtId="0" fontId="42" fillId="13" borderId="1" xfId="0" applyFont="1" applyFill="1" applyBorder="1" applyAlignment="1">
      <alignment horizontal="center" vertical="center"/>
    </xf>
    <xf numFmtId="0" fontId="43" fillId="13" borderId="2" xfId="0" applyFont="1" applyFill="1" applyBorder="1" applyAlignment="1">
      <alignment horizontal="center" vertical="center"/>
    </xf>
    <xf numFmtId="0" fontId="43" fillId="13" borderId="2" xfId="0" applyFont="1" applyFill="1" applyBorder="1" applyAlignment="1">
      <alignment horizontal="left" vertical="center"/>
    </xf>
    <xf numFmtId="0" fontId="42" fillId="13" borderId="2" xfId="0" applyFont="1" applyFill="1" applyBorder="1" applyAlignment="1">
      <alignment horizontal="center" vertical="center"/>
    </xf>
    <xf numFmtId="0" fontId="44" fillId="13" borderId="8" xfId="0" applyFont="1" applyFill="1" applyBorder="1" applyAlignment="1">
      <alignment horizontal="center" vertical="center"/>
    </xf>
    <xf numFmtId="0" fontId="42" fillId="13" borderId="0" xfId="0" applyFont="1" applyFill="1" applyAlignment="1">
      <alignment vertical="center"/>
    </xf>
    <xf numFmtId="0" fontId="0" fillId="0" borderId="9" xfId="0" applyBorder="1" applyAlignment="1">
      <alignment horizontal="left" vertical="center" wrapText="1"/>
    </xf>
    <xf numFmtId="6" fontId="3" fillId="0" borderId="19" xfId="0" applyNumberFormat="1" applyFont="1" applyBorder="1" applyAlignment="1">
      <alignment horizontal="center" vertical="center" wrapText="1"/>
    </xf>
    <xf numFmtId="0" fontId="0" fillId="0" borderId="20" xfId="0" applyBorder="1" applyAlignment="1">
      <alignment horizontal="left" vertical="center" wrapText="1"/>
    </xf>
    <xf numFmtId="0" fontId="0" fillId="0" borderId="17" xfId="0" applyBorder="1" applyAlignment="1">
      <alignment horizontal="left" vertical="center" wrapText="1"/>
    </xf>
    <xf numFmtId="6" fontId="3" fillId="0" borderId="21" xfId="0" applyNumberFormat="1" applyFont="1" applyBorder="1" applyAlignment="1">
      <alignment horizontal="center" vertical="center" wrapText="1"/>
    </xf>
    <xf numFmtId="0" fontId="0" fillId="2" borderId="0" xfId="0" applyFill="1" applyAlignment="1">
      <alignment vertical="center"/>
    </xf>
    <xf numFmtId="0" fontId="45" fillId="2" borderId="2" xfId="0" applyFont="1" applyFill="1" applyBorder="1" applyAlignment="1">
      <alignment horizontal="center" vertical="center"/>
    </xf>
    <xf numFmtId="0" fontId="2" fillId="2" borderId="2" xfId="1" applyFill="1" applyBorder="1" applyAlignment="1">
      <alignment horizontal="center" vertical="center"/>
    </xf>
    <xf numFmtId="9" fontId="0" fillId="2" borderId="2" xfId="0" applyNumberFormat="1" applyFill="1" applyBorder="1" applyAlignment="1">
      <alignment horizontal="center" vertical="center"/>
    </xf>
    <xf numFmtId="0" fontId="0" fillId="2" borderId="22" xfId="0" applyFill="1" applyBorder="1" applyAlignment="1">
      <alignment horizontal="center" vertical="center"/>
    </xf>
    <xf numFmtId="0" fontId="37" fillId="0" borderId="9" xfId="0" applyFont="1" applyBorder="1" applyAlignment="1">
      <alignment horizontal="center" vertical="center" wrapText="1"/>
    </xf>
    <xf numFmtId="6" fontId="0" fillId="0" borderId="3" xfId="0" applyNumberFormat="1" applyBorder="1" applyAlignment="1">
      <alignment horizontal="center" vertical="center" wrapText="1"/>
    </xf>
    <xf numFmtId="0" fontId="0" fillId="0" borderId="8" xfId="0" applyBorder="1" applyAlignment="1">
      <alignment horizontal="center" vertical="center"/>
    </xf>
    <xf numFmtId="0" fontId="0" fillId="2" borderId="17" xfId="0" applyFill="1" applyBorder="1" applyAlignment="1">
      <alignment horizontal="center" vertical="center" wrapText="1"/>
    </xf>
    <xf numFmtId="0" fontId="25" fillId="15" borderId="2" xfId="0" applyFont="1" applyFill="1" applyBorder="1" applyAlignment="1">
      <alignment horizontal="center" vertical="center"/>
    </xf>
    <xf numFmtId="0" fontId="0" fillId="15" borderId="2" xfId="0" applyFill="1" applyBorder="1" applyAlignment="1">
      <alignment horizontal="center" vertical="center"/>
    </xf>
    <xf numFmtId="6" fontId="0" fillId="2" borderId="1" xfId="0" applyNumberFormat="1" applyFill="1" applyBorder="1" applyAlignment="1">
      <alignment horizontal="center" vertical="center"/>
    </xf>
    <xf numFmtId="8" fontId="0" fillId="2" borderId="1" xfId="0" applyNumberFormat="1" applyFill="1" applyBorder="1" applyAlignment="1">
      <alignment horizontal="center" vertical="center"/>
    </xf>
    <xf numFmtId="0" fontId="0" fillId="2" borderId="1" xfId="0" applyFill="1" applyBorder="1" applyAlignment="1">
      <alignment horizontal="center" vertical="center" wrapText="1"/>
    </xf>
    <xf numFmtId="0" fontId="23" fillId="2" borderId="18" xfId="0" applyFont="1" applyFill="1" applyBorder="1" applyAlignment="1">
      <alignment horizontal="left" vertical="center" wrapText="1"/>
    </xf>
    <xf numFmtId="0" fontId="0" fillId="2" borderId="9" xfId="0" applyFill="1" applyBorder="1" applyAlignment="1">
      <alignment horizontal="left" vertical="center"/>
    </xf>
    <xf numFmtId="0" fontId="0" fillId="15" borderId="2" xfId="0" applyFill="1" applyBorder="1" applyAlignment="1">
      <alignment horizontal="center" vertical="center" wrapText="1"/>
    </xf>
    <xf numFmtId="3" fontId="0" fillId="15" borderId="18" xfId="0" applyNumberFormat="1" applyFill="1" applyBorder="1" applyAlignment="1">
      <alignment horizontal="center" vertical="center" wrapText="1"/>
    </xf>
    <xf numFmtId="0" fontId="30" fillId="17" borderId="1" xfId="0" applyFont="1" applyFill="1" applyBorder="1" applyAlignment="1">
      <alignment horizontal="center" vertical="center" wrapText="1" indent="1"/>
    </xf>
    <xf numFmtId="0" fontId="39" fillId="16" borderId="1" xfId="0" applyFont="1" applyFill="1" applyBorder="1" applyAlignment="1">
      <alignment horizontal="center" vertical="center" wrapText="1"/>
    </xf>
    <xf numFmtId="0" fontId="27" fillId="18" borderId="1" xfId="0" applyFont="1" applyFill="1" applyBorder="1" applyAlignment="1">
      <alignment horizontal="right" wrapText="1"/>
    </xf>
    <xf numFmtId="0" fontId="40" fillId="16" borderId="1" xfId="0" applyFont="1" applyFill="1" applyBorder="1" applyAlignment="1">
      <alignment horizontal="center" vertical="center" wrapText="1"/>
    </xf>
    <xf numFmtId="0" fontId="28" fillId="18" borderId="1" xfId="0" applyFont="1" applyFill="1" applyBorder="1" applyAlignment="1">
      <alignment horizontal="right" wrapText="1"/>
    </xf>
    <xf numFmtId="0" fontId="34" fillId="17" borderId="23" xfId="0" applyFont="1" applyFill="1" applyBorder="1" applyAlignment="1">
      <alignment horizontal="center" vertical="center" wrapText="1"/>
    </xf>
    <xf numFmtId="0" fontId="38" fillId="16" borderId="23" xfId="0" applyFont="1" applyFill="1" applyBorder="1" applyAlignment="1">
      <alignment horizontal="center" vertical="center"/>
    </xf>
    <xf numFmtId="0" fontId="35" fillId="18" borderId="23" xfId="0" applyFont="1" applyFill="1" applyBorder="1" applyAlignment="1">
      <alignment horizontal="center" vertical="center"/>
    </xf>
    <xf numFmtId="9" fontId="36" fillId="18" borderId="0" xfId="0" applyNumberFormat="1" applyFont="1" applyFill="1" applyAlignment="1">
      <alignment horizontal="center" vertical="center"/>
    </xf>
    <xf numFmtId="0" fontId="3" fillId="3" borderId="14" xfId="0" applyFont="1" applyFill="1" applyBorder="1" applyAlignment="1">
      <alignment wrapText="1"/>
    </xf>
    <xf numFmtId="0" fontId="3" fillId="3" borderId="15" xfId="0" applyFont="1" applyFill="1" applyBorder="1" applyAlignment="1">
      <alignment wrapText="1"/>
    </xf>
    <xf numFmtId="0" fontId="3" fillId="3" borderId="16" xfId="0" applyFont="1" applyFill="1" applyBorder="1" applyAlignment="1">
      <alignment wrapText="1"/>
    </xf>
    <xf numFmtId="0" fontId="0" fillId="0" borderId="2" xfId="0" applyBorder="1" applyAlignment="1">
      <alignment horizontal="center" vertical="center"/>
    </xf>
    <xf numFmtId="0" fontId="47" fillId="13" borderId="2" xfId="0" applyFont="1" applyFill="1" applyBorder="1" applyAlignment="1">
      <alignment horizontal="center" vertical="center"/>
    </xf>
    <xf numFmtId="0" fontId="5" fillId="0" borderId="0" xfId="0" applyFont="1" applyAlignment="1"/>
    <xf numFmtId="0" fontId="12" fillId="9" borderId="15" xfId="0" applyFont="1" applyFill="1" applyBorder="1" applyAlignment="1"/>
    <xf numFmtId="0" fontId="12" fillId="9" borderId="16" xfId="0" applyFont="1" applyFill="1" applyBorder="1" applyAlignment="1"/>
  </cellXfs>
  <cellStyles count="2">
    <cellStyle name="Hyperlink" xfId="1" builtinId="8"/>
    <cellStyle name="Normal" xfId="0" builtinId="0"/>
  </cellStyles>
  <dxfs count="16">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alignment horizontal="center" vertical="center"/>
    </dxf>
    <dxf>
      <font>
        <u/>
        <sz val="12"/>
      </font>
      <fill>
        <patternFill patternType="solid">
          <fgColor indexed="64"/>
          <bgColor theme="9" tint="-0.499984740745262"/>
        </patternFill>
      </fill>
      <alignment horizontal="center" vertical="center"/>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colors>
    <mruColors>
      <color rgb="FF00D2A0"/>
      <color rgb="FFCEFAE0"/>
      <color rgb="FF186C24"/>
      <color rgb="FFC0F1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1FBCB3-5611-49FD-A239-7836B2A07AA2}" name="Table2" displayName="Table2" ref="A1:M15" totalsRowShown="0" headerRowDxfId="15" dataDxfId="14" headerRowBorderDxfId="13">
  <autoFilter ref="A1:M15" xr:uid="{EE1FBCB3-5611-49FD-A239-7836B2A07AA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34EC34D-9D7D-45AF-821C-FD7AD10F9EFD}" name="Project Name" dataDxfId="12"/>
    <tableColumn id="2" xr3:uid="{8E4869D7-685C-47F7-8831-CFC5E72A8445}" name="Project Status" dataDxfId="11"/>
    <tableColumn id="11" xr3:uid="{85023E00-03D3-4634-8444-2E6B95EFDEFF}" name="Project Jira Link" dataDxfId="10"/>
    <tableColumn id="12" xr3:uid="{FD3AA498-FFE6-4C21-BDB3-62DCE44357FA}" name="Complition Rate" dataDxfId="9"/>
    <tableColumn id="10" xr3:uid="{A0C6A9FF-3D2E-400C-8467-4604F5F0C48E}" name="Start Date" dataDxfId="8"/>
    <tableColumn id="9" xr3:uid="{F7FF084C-0A6D-4141-AAF7-D11BBC4924E4}" name="End Date" dataDxfId="7"/>
    <tableColumn id="4" xr3:uid="{41948BB0-9910-4E63-B56E-474313C7D3AF}" name="Priority" dataDxfId="6"/>
    <tableColumn id="3" xr3:uid="{B99C1508-59FE-47D5-9D5B-936CAAAD833B}" name="Project Manager" dataDxfId="5"/>
    <tableColumn id="5" xr3:uid="{21BD25E0-B9F1-489D-9377-58CF941C2A02}" name="Comments" dataDxfId="4"/>
    <tableColumn id="6" xr3:uid="{4A3907E6-9AE2-4C7C-AD64-A14635529B32}" name="Paid" dataDxfId="3"/>
    <tableColumn id="7" xr3:uid="{DE15F5B0-2A7B-4743-954E-78B8259E4EE5}" name="Remaining" dataDxfId="2"/>
    <tableColumn id="8" xr3:uid="{31E21F33-D4CF-402D-99B8-CA851D338B46}" name="Annual License" dataDxfId="1"/>
    <tableColumn id="13" xr3:uid="{99A90BCE-DF5C-4ED4-A696-585187F69E80}" name="Column1"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260FCF7-D914-400A-9924-EB18FB585CD2}">
  <we:reference id="wa200009404" version="1.0.0.8" store="en-US" storeType="OMEX"/>
  <we:alternateReferences>
    <we:reference id="WA200009404" version="1.0.0.8" store="WA200009404" storeType="OMEX"/>
  </we:alternateReferences>
  <we:properties>
    <we:property name="claude.fileId" value="&quot;1049223a-e891-45f7-b7c5-8e144550e96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fibtask.atlassian.net/jira/software/c/projects/FIBCGPI/boards/98" TargetMode="External"/><Relationship Id="rId13" Type="http://schemas.openxmlformats.org/officeDocument/2006/relationships/hyperlink" Target="https://fibtask.atlassian.net/browse/FIBCRR-164?atlOrigin=eyJpIjoiZmJjMmU0NTNiZjcyNDdjM2IyNjE3ZDg0MGU1NjE4NGYiLCJwIjoiaiJ9" TargetMode="External"/><Relationship Id="rId3" Type="http://schemas.openxmlformats.org/officeDocument/2006/relationships/hyperlink" Target="https://fibtask.atlassian.net/browse/FIBXPI-749" TargetMode="External"/><Relationship Id="rId7" Type="http://schemas.openxmlformats.org/officeDocument/2006/relationships/hyperlink" Target="https://fibtask.atlassian.net/browse/FIBQPR" TargetMode="External"/><Relationship Id="rId12" Type="http://schemas.openxmlformats.org/officeDocument/2006/relationships/hyperlink" Target="https://fibtask.atlassian.net/browse/FIBCRR-123?atlOrigin=eyJpIjoiZDNiMTE1YmFmNWQ2NDY1OTk3NTE1NWNiNTMzMjFkODYiLCJwIjoiaiJ9" TargetMode="External"/><Relationship Id="rId17" Type="http://schemas.openxmlformats.org/officeDocument/2006/relationships/table" Target="../tables/table1.xml"/><Relationship Id="rId2" Type="http://schemas.openxmlformats.org/officeDocument/2006/relationships/hyperlink" Target="https://fibtask.atlassian.net/jira/software/c/projects/FIBGAP/list" TargetMode="External"/><Relationship Id="rId16" Type="http://schemas.openxmlformats.org/officeDocument/2006/relationships/printerSettings" Target="../printerSettings/printerSettings2.bin"/><Relationship Id="rId1" Type="http://schemas.openxmlformats.org/officeDocument/2006/relationships/hyperlink" Target="https://fibtask.atlassian.net/jira/software/c/projects/FIBPEAP/list" TargetMode="External"/><Relationship Id="rId6" Type="http://schemas.openxmlformats.org/officeDocument/2006/relationships/hyperlink" Target="https://fibtask.atlassian.net/browse/FIBTMP" TargetMode="External"/><Relationship Id="rId11" Type="http://schemas.openxmlformats.org/officeDocument/2006/relationships/hyperlink" Target="https://fibtask.atlassian.net/browse/FIBCRR-26?atlOrigin=eyJpIjoiODc4ZGM1YzJmMmUyNDBhY2E5ZGIzZDE4ZTk3NWVjMjEiLCJwIjoiaiJ9" TargetMode="External"/><Relationship Id="rId5" Type="http://schemas.openxmlformats.org/officeDocument/2006/relationships/hyperlink" Target="https://fibtask.atlassian.net/jira/software/c/projects/BMBCCM/list" TargetMode="External"/><Relationship Id="rId15" Type="http://schemas.openxmlformats.org/officeDocument/2006/relationships/hyperlink" Target="https://fibtask.atlassian.net/browse/FIBXPI-749" TargetMode="External"/><Relationship Id="rId10" Type="http://schemas.openxmlformats.org/officeDocument/2006/relationships/hyperlink" Target="https://fibtask.atlassian.net/browse/FIBCRR-130?atlOrigin=eyJpIjoiYmJiNDFjOTc1NGE3NDQ3Mzg5OGUzOTMzNDIzZjBiMjYiLCJwIjoiaiJ9" TargetMode="External"/><Relationship Id="rId4" Type="http://schemas.openxmlformats.org/officeDocument/2006/relationships/hyperlink" Target="https://fibtask.atlassian.net/jira/software/c/projects/FIBPMO/list" TargetMode="External"/><Relationship Id="rId9" Type="http://schemas.openxmlformats.org/officeDocument/2006/relationships/hyperlink" Target="https://fibtask.atlassian.net/jira/software/c/projects/FIBIFRS/boards/105?atlOrigin=eyJpIjoiYjlkOWU2MmU0YjFmNDUxY2IzMWY3MTZiMjcwNGE5NTAiLCJwIjoiaiJ9" TargetMode="External"/><Relationship Id="rId14" Type="http://schemas.openxmlformats.org/officeDocument/2006/relationships/hyperlink" Target="https://fibtask.atlassian.net/browse/FIBXPI-4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fibadmin.sharepoint.com/:b:/s/FinanceShared/ETo2qukV1fdHmiCHZH6lIFgB4s5wBZqS8lRYmepgLGHmWg?e=ARTkXg" TargetMode="External"/><Relationship Id="rId3" Type="http://schemas.openxmlformats.org/officeDocument/2006/relationships/hyperlink" Target="https://fibadmin.sharepoint.com/:b:/s/FinanceShared/EV5Sod-YtLVHu8aM2ecjurIB7hguV4hZJ-5453k_q6nunA?e=KrEpQR" TargetMode="External"/><Relationship Id="rId7" Type="http://schemas.openxmlformats.org/officeDocument/2006/relationships/hyperlink" Target="https://fibadmin.sharepoint.com/:b:/s/FinanceShared/EbboWZ58yutJkBxAkECU0DEB3vD55bqfjLnaHSBBpZX0wA?e=rfyQ2o" TargetMode="External"/><Relationship Id="rId12" Type="http://schemas.openxmlformats.org/officeDocument/2006/relationships/hyperlink" Target="https://fibadmin.sharepoint.com/:b:/s/FinanceShared/ERPN8bL0BjxNmiHQG6cAv04BrGQPup48B4gdZBFszocr-A?e=UWiBvX" TargetMode="External"/><Relationship Id="rId2" Type="http://schemas.openxmlformats.org/officeDocument/2006/relationships/hyperlink" Target="https://fibadmin.sharepoint.com/:b:/s/FinanceShared/EZunmZidck5PuNJdw5c5_HoB2GFti7_Guavtj6cm_817yg?e=6tO0e2" TargetMode="External"/><Relationship Id="rId1" Type="http://schemas.openxmlformats.org/officeDocument/2006/relationships/hyperlink" Target="https://fibadmin.sharepoint.com/:b:/s/FinanceShared/EZdLvGItjmRHjFaDPVQ_Mp8BvSYgPn5daryrxZM1w-9BNg?e=9v4dz6" TargetMode="External"/><Relationship Id="rId6" Type="http://schemas.openxmlformats.org/officeDocument/2006/relationships/hyperlink" Target="https://fibadmin.sharepoint.com/:b:/s/FinanceShared/EfNR5cw2QwRHvKNnxre9ld0B6l46jTEN6c0yfywNeRJz1A?e=1BcZuG" TargetMode="External"/><Relationship Id="rId11" Type="http://schemas.openxmlformats.org/officeDocument/2006/relationships/hyperlink" Target="../../alaa_alsmadi_fib_iq/Downloads/&#1601;&#1575;&#1578;&#1608;&#1585;&#1577;%20&#1588;&#1585;&#1603;&#1577;%20&#1601;&#1575;&#1610;&#1605;%20&#1593;&#1606;%20&#1605;&#1588;&#1585;&#1608;&#1593;%20&#1601;&#1610;&#1586;&#1575;%20$%205,050.pdf" TargetMode="External"/><Relationship Id="rId5" Type="http://schemas.openxmlformats.org/officeDocument/2006/relationships/hyperlink" Target="https://fibadmin.sharepoint.com/:b:/s/FinanceShared/Efa1DePkJ_ROjhZgP2rmHwcB7WljO0b4lKPJlaypDrhL9Q?e=tqGikL" TargetMode="External"/><Relationship Id="rId10" Type="http://schemas.openxmlformats.org/officeDocument/2006/relationships/hyperlink" Target="https://fibadmin.sharepoint.com/:b:/s/FinanceShared/Efjd8FV-jOJMgneh9ZvVXxMB9g1MCRJBb43p2g8U5aZJ4g?e=oXlJ4i" TargetMode="External"/><Relationship Id="rId4" Type="http://schemas.openxmlformats.org/officeDocument/2006/relationships/hyperlink" Target="../../alaa_alsmadi_fib_iq/Downloads/&#1601;&#1575;&#1578;&#1608;&#1585;&#1577;%20&#1588;&#1585;&#1603;&#1577;%20&#1580;&#1610;%20&#1576;&#1610;&#1605;&#1606;&#1578;%20$%20800.pdf" TargetMode="External"/><Relationship Id="rId9" Type="http://schemas.openxmlformats.org/officeDocument/2006/relationships/hyperlink" Target="https://fibadmin.sharepoint.com/:b:/s/FinanceShared/EZQG9TDQHhJMqc5ZE-W9uqUB-Zvp59QBSxuMJCOE_8uXCw?e=epY8y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D038C-F4D9-439F-9678-4D6C40FDFF06}">
  <dimension ref="A1:BF27"/>
  <sheetViews>
    <sheetView zoomScale="70" zoomScaleNormal="70" workbookViewId="0">
      <selection activeCell="G3" sqref="G3"/>
    </sheetView>
  </sheetViews>
  <sheetFormatPr defaultColWidth="9.140625" defaultRowHeight="26.25"/>
  <cols>
    <col min="1" max="2" width="9.140625" style="123"/>
    <col min="3" max="3" width="36.42578125" style="130" bestFit="1" customWidth="1"/>
    <col min="4" max="4" width="25.5703125" style="132" bestFit="1" customWidth="1"/>
    <col min="5" max="5" width="93.5703125" style="119" customWidth="1"/>
    <col min="6" max="6" width="62" style="125" bestFit="1" customWidth="1"/>
    <col min="7" max="7" width="31.140625" style="116" bestFit="1" customWidth="1"/>
    <col min="8" max="8" width="21.7109375" style="116" bestFit="1" customWidth="1"/>
    <col min="9" max="16384" width="9.140625" style="116"/>
  </cols>
  <sheetData>
    <row r="1" spans="1:58" s="117" customFormat="1" ht="36">
      <c r="A1" s="121"/>
      <c r="B1" s="121"/>
      <c r="C1" s="183" t="str" cm="1">
        <f t="array" ref="C1:F6">_xlfn.LET(
   _xlpm.data, 'Projects list'!A:M,
   _xlpm.owners, INDEX(_xlpm.data, _xlfn.SEQUENCE(ROWS(_xlpm.data)), 8),
   _xlpm.projects, INDEX(_xlpm.data, _xlfn.SEQUENCE(ROWS(_xlpm.data)), 1),
   _xlpm.completion, INDEX(_xlpm.data, _xlfn.SEQUENCE(ROWS(_xlpm.data)), 4),
   _xlpm.filterCondition, (_xlpm.owners &lt;&gt; "") * (_xlpm.owners &lt;&gt; "Project Manager"),
   _xlpm.filteredOwners, _xlfn._xlws.FILTER(_xlpm.owners, _xlpm.filterCondition),
   _xlpm.filteredProjects, _xlfn._xlws.FILTER(_xlpm.projects, _xlpm.filterCondition),
   _xlpm.filteredCompletion, _xlfn._xlws.FILTER(_xlpm.completion, _xlpm.filterCondition),
   _xlpm.numericCompletion, IF(_xlpm.filteredCompletion="", 0, _xlpm.filteredCompletion),
   _xlpm.uniqueOwners, _xlfn.UNIQUE(_xlfn._xlws.FILTER(_xlpm.filteredOwners, _xlpm.filteredOwners&lt;&gt;"")),
   _xlpm.projectCount, _xlfn.BYROW(_xlpm.uniqueOwners, _xlfn.LAMBDA(_xlpm.o, SUM(--(_xlpm.filteredOwners = _xlpm.o)))),
   _xlpm.avgCompletion, _xlfn.BYROW(_xlpm.uniqueOwners, _xlfn.LAMBDA(_xlpm.o, AVERAGE(IF(_xlpm.filteredOwners = _xlpm.o, _xlpm.numericCompletion, "")))),
   _xlpm.projectList, _xlfn.BYROW(_xlpm.uniqueOwners, _xlfn.LAMBDA(_xlpm.o,
      _xlfn.TEXTJOIN(CHAR(10), TRUE,
         _xlfn._xlws.FILTER(_xlpm.filteredProjects &amp; " (" &amp; TEXT(IF(_xlpm.filteredCompletion="", 0, _xlpm.filteredCompletion), "0%") &amp; ")", _xlpm.filteredOwners = _xlpm.o)
      )
   )),
   _xlpm.result, _xlfn.HSTACK(_xlpm.uniqueOwners, _xlpm.projectCount, _xlpm.projectList, _xlpm.avgCompletion),
   _xlfn.VSTACK({"Project Owner","# of Projects","Projects (Completion Rate)"," All Projects Avg Completion %"}, _xlpm.result)
)</f>
        <v>Project Owner</v>
      </c>
      <c r="D1" s="184" t="str">
        <v># of Projects</v>
      </c>
      <c r="E1" s="185" t="str">
        <v>Projects (Completion Rate)</v>
      </c>
      <c r="F1" s="186" t="str">
        <v xml:space="preserve"> All Projects Avg Completion %</v>
      </c>
      <c r="G1" s="121"/>
      <c r="H1" s="121"/>
      <c r="I1" s="121"/>
      <c r="J1" s="121"/>
      <c r="K1" s="121"/>
      <c r="L1" s="121"/>
      <c r="M1" s="121"/>
      <c r="N1" s="121"/>
      <c r="O1" s="121"/>
      <c r="P1" s="121"/>
      <c r="Q1" s="121"/>
      <c r="R1" s="121"/>
      <c r="S1" s="121"/>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row>
    <row r="2" spans="1:58" ht="209.25">
      <c r="C2" s="178" t="str">
        <v>Waael Al-Qadhi</v>
      </c>
      <c r="D2" s="179">
        <v>8</v>
      </c>
      <c r="E2" s="180" t="str">
        <v>XPI Project (90%)
ATM Project (10%)
الاصلاح المصرفي (50%)
Auto Settlement Requirement – CBI Mandate (100%)
Connection With Meps  (10%)
FIB ISO Audits Reports (100%)
POC - Cash withdrawal  (5%)
PEPS - EY assessment (5%)</v>
      </c>
      <c r="F2" s="126">
        <v>0.46249999999999997</v>
      </c>
      <c r="G2" s="122"/>
      <c r="H2" s="123"/>
      <c r="I2" s="123"/>
      <c r="J2" s="123"/>
      <c r="K2" s="123"/>
      <c r="L2" s="123"/>
      <c r="M2" s="123"/>
      <c r="N2" s="123"/>
      <c r="O2" s="123"/>
      <c r="P2" s="123"/>
      <c r="Q2" s="123"/>
      <c r="R2" s="123"/>
      <c r="S2" s="123"/>
    </row>
    <row r="3" spans="1:58" ht="235.5">
      <c r="C3" s="178" t="str">
        <v>Ezzat Zalzala</v>
      </c>
      <c r="D3" s="179">
        <v>4</v>
      </c>
      <c r="E3" s="180" t="str">
        <v>Gas Station (80%)
Process Enhancement and Automation (50%)
Centralized data warehouse - Gap Analysis  (25%)
Gas Station (100%)</v>
      </c>
      <c r="F3" s="126">
        <v>0.63749999999999996</v>
      </c>
      <c r="G3" s="128"/>
      <c r="H3" s="123"/>
      <c r="I3" s="123"/>
      <c r="J3" s="123"/>
      <c r="K3" s="123"/>
      <c r="L3" s="123"/>
      <c r="M3" s="123"/>
      <c r="N3" s="123"/>
      <c r="O3" s="123"/>
      <c r="P3" s="123"/>
      <c r="Q3" s="123"/>
      <c r="R3" s="123"/>
      <c r="S3" s="123"/>
    </row>
    <row r="4" spans="1:58" ht="69.75">
      <c r="C4" s="178" t="str">
        <v>Alaa Al-Smadi</v>
      </c>
      <c r="D4" s="181">
        <v>8</v>
      </c>
      <c r="E4" s="182" t="str">
        <v>Bank-BI Solution including
(DWH, FATCA, BankCM, IFRS9, R.R) (65%)
GPI Pro (95%)
Client Risk Rating (90%)
Regulatory Compliance Management (RCM)  (TBD)
Reconciliation System (5%)
ERP Project (5%)
MT2ISO (100%)
AML Translator (100%)</v>
      </c>
      <c r="F4" s="127">
        <v>0.65714285714285714</v>
      </c>
      <c r="G4" s="124"/>
      <c r="H4" s="123"/>
      <c r="I4" s="123"/>
      <c r="J4" s="123"/>
      <c r="K4" s="123"/>
      <c r="L4" s="123"/>
      <c r="M4" s="123"/>
      <c r="N4" s="123"/>
      <c r="O4" s="123"/>
      <c r="P4" s="123"/>
      <c r="Q4" s="123"/>
      <c r="R4" s="123"/>
      <c r="S4" s="123"/>
    </row>
    <row r="5" spans="1:58" ht="69.75">
      <c r="C5" s="178" t="str">
        <v>Rudaw Abdulrahman</v>
      </c>
      <c r="D5" s="181">
        <v>3</v>
      </c>
      <c r="E5" s="182" t="str">
        <v>FIB – PCI DSS Project (Al Ejabi)​ (18%)
Call Center migration (99%)
ZenHR implementation (100%)</v>
      </c>
      <c r="F5" s="127">
        <v>0.72333333333333327</v>
      </c>
      <c r="G5" s="124"/>
      <c r="H5" s="123"/>
      <c r="I5" s="123"/>
      <c r="J5" s="123"/>
      <c r="K5" s="123"/>
      <c r="L5" s="123"/>
      <c r="M5" s="123"/>
      <c r="N5" s="123"/>
      <c r="O5" s="123"/>
      <c r="P5" s="123"/>
      <c r="Q5" s="123"/>
      <c r="R5" s="123"/>
      <c r="S5" s="123"/>
    </row>
    <row r="6" spans="1:58">
      <c r="C6" s="178" t="str">
        <v>Ali Zirak</v>
      </c>
      <c r="D6" s="181">
        <v>1</v>
      </c>
      <c r="E6" s="182" t="str">
        <v>Compliance Predator (95%)</v>
      </c>
      <c r="F6" s="127">
        <v>0.95</v>
      </c>
      <c r="G6" s="124"/>
      <c r="H6" s="123"/>
      <c r="I6" s="123"/>
      <c r="J6" s="123"/>
      <c r="K6" s="123"/>
      <c r="L6" s="123"/>
      <c r="M6" s="123"/>
      <c r="N6" s="123"/>
      <c r="O6" s="123"/>
      <c r="P6" s="123"/>
      <c r="Q6" s="123"/>
      <c r="R6" s="123"/>
      <c r="S6" s="123"/>
    </row>
    <row r="7" spans="1:58">
      <c r="C7" s="131"/>
      <c r="D7" s="133"/>
      <c r="E7" s="118"/>
      <c r="F7" s="127"/>
      <c r="G7" s="124"/>
      <c r="H7" s="123"/>
      <c r="I7" s="123"/>
      <c r="J7" s="123"/>
      <c r="K7" s="123"/>
      <c r="L7" s="123"/>
      <c r="M7" s="123"/>
      <c r="N7" s="123"/>
      <c r="O7" s="123"/>
      <c r="P7" s="123"/>
      <c r="Q7" s="123"/>
      <c r="R7" s="123"/>
      <c r="S7" s="123"/>
    </row>
    <row r="8" spans="1:58">
      <c r="C8" s="131"/>
      <c r="D8" s="133"/>
      <c r="E8" s="118"/>
      <c r="F8" s="127"/>
      <c r="G8" s="124"/>
      <c r="H8" s="123"/>
      <c r="I8" s="123"/>
      <c r="J8" s="123"/>
      <c r="K8" s="123"/>
      <c r="L8" s="123"/>
      <c r="M8" s="123"/>
      <c r="N8" s="123"/>
      <c r="O8" s="123"/>
      <c r="P8" s="123"/>
      <c r="Q8" s="123"/>
      <c r="R8" s="123"/>
      <c r="S8" s="123"/>
    </row>
    <row r="9" spans="1:58">
      <c r="C9" s="131"/>
      <c r="D9" s="133"/>
      <c r="E9" s="118"/>
      <c r="F9" s="127"/>
      <c r="G9" s="124"/>
      <c r="H9" s="123"/>
      <c r="I9" s="123"/>
      <c r="J9" s="123"/>
      <c r="K9" s="123"/>
      <c r="L9" s="123"/>
      <c r="M9" s="123"/>
      <c r="N9" s="123"/>
      <c r="O9" s="123"/>
      <c r="P9" s="123"/>
      <c r="Q9" s="123"/>
      <c r="R9" s="123"/>
    </row>
    <row r="10" spans="1:58">
      <c r="E10" s="118"/>
      <c r="G10" s="123"/>
      <c r="H10" s="123"/>
      <c r="I10" s="123"/>
      <c r="J10" s="123"/>
      <c r="K10" s="123"/>
      <c r="L10" s="123"/>
      <c r="M10" s="123"/>
      <c r="N10" s="123"/>
      <c r="O10" s="123"/>
      <c r="P10" s="123"/>
      <c r="Q10" s="123"/>
      <c r="R10" s="123"/>
    </row>
    <row r="11" spans="1:58">
      <c r="E11" s="118"/>
      <c r="G11" s="123"/>
      <c r="H11" s="123"/>
      <c r="I11" s="123"/>
      <c r="J11" s="123"/>
      <c r="K11" s="123"/>
      <c r="L11" s="123"/>
      <c r="M11" s="123"/>
      <c r="N11" s="123"/>
      <c r="O11" s="123"/>
      <c r="P11" s="123"/>
      <c r="Q11" s="123"/>
      <c r="R11" s="123"/>
    </row>
    <row r="12" spans="1:58">
      <c r="E12" s="118"/>
      <c r="G12" s="123"/>
      <c r="H12" s="123"/>
      <c r="I12" s="123"/>
      <c r="J12" s="123"/>
      <c r="K12" s="123"/>
      <c r="L12" s="123"/>
      <c r="M12" s="123"/>
      <c r="N12" s="123"/>
      <c r="O12" s="123"/>
      <c r="P12" s="123"/>
      <c r="Q12" s="123"/>
      <c r="R12" s="123"/>
    </row>
    <row r="13" spans="1:58">
      <c r="E13" s="118"/>
      <c r="G13" s="123"/>
      <c r="H13" s="123"/>
      <c r="I13" s="123"/>
      <c r="J13" s="123"/>
      <c r="K13" s="123"/>
      <c r="L13" s="123"/>
      <c r="M13" s="123"/>
      <c r="N13" s="123"/>
      <c r="O13" s="123"/>
      <c r="P13" s="123"/>
      <c r="Q13" s="123"/>
      <c r="R13" s="123"/>
    </row>
    <row r="14" spans="1:58">
      <c r="E14" s="118"/>
      <c r="G14" s="123"/>
      <c r="H14" s="123"/>
      <c r="I14" s="123"/>
      <c r="J14" s="123"/>
      <c r="K14" s="123"/>
      <c r="L14" s="123"/>
      <c r="M14" s="123"/>
      <c r="N14" s="123"/>
      <c r="O14" s="123"/>
      <c r="P14" s="123"/>
      <c r="Q14" s="123"/>
      <c r="R14" s="123"/>
    </row>
    <row r="15" spans="1:58">
      <c r="E15" s="118"/>
      <c r="G15" s="123"/>
      <c r="H15" s="123"/>
      <c r="I15" s="123"/>
      <c r="J15" s="123"/>
      <c r="K15" s="123"/>
      <c r="L15" s="123"/>
      <c r="M15" s="123"/>
      <c r="N15" s="123"/>
      <c r="O15" s="123"/>
      <c r="P15" s="123"/>
      <c r="Q15" s="123"/>
      <c r="R15" s="123"/>
    </row>
    <row r="16" spans="1:58">
      <c r="E16" s="118"/>
      <c r="G16" s="123"/>
      <c r="H16" s="123"/>
      <c r="I16" s="123"/>
      <c r="J16" s="123"/>
      <c r="K16" s="123"/>
      <c r="L16" s="123"/>
      <c r="M16" s="123"/>
      <c r="N16" s="123"/>
      <c r="O16" s="123"/>
      <c r="P16" s="123"/>
      <c r="Q16" s="123"/>
      <c r="R16" s="123"/>
    </row>
    <row r="17" spans="5:18">
      <c r="E17" s="118"/>
      <c r="G17" s="123"/>
      <c r="H17" s="123"/>
      <c r="I17" s="123"/>
      <c r="J17" s="123"/>
      <c r="K17" s="123"/>
      <c r="L17" s="123"/>
      <c r="M17" s="123"/>
      <c r="N17" s="123"/>
      <c r="O17" s="123"/>
      <c r="P17" s="123"/>
      <c r="Q17" s="123"/>
      <c r="R17" s="123"/>
    </row>
    <row r="18" spans="5:18">
      <c r="G18" s="123"/>
      <c r="H18" s="123"/>
      <c r="I18" s="123"/>
      <c r="J18" s="123"/>
      <c r="K18" s="123"/>
      <c r="L18" s="123"/>
      <c r="M18" s="123"/>
      <c r="N18" s="123"/>
      <c r="O18" s="123"/>
      <c r="P18" s="123"/>
      <c r="Q18" s="123"/>
      <c r="R18" s="123"/>
    </row>
    <row r="19" spans="5:18">
      <c r="G19" s="123"/>
      <c r="H19" s="123"/>
      <c r="I19" s="123"/>
      <c r="J19" s="123"/>
      <c r="K19" s="123"/>
      <c r="L19" s="123"/>
      <c r="M19" s="123"/>
      <c r="N19" s="123"/>
      <c r="O19" s="123"/>
      <c r="P19" s="123"/>
      <c r="Q19" s="123"/>
      <c r="R19" s="123"/>
    </row>
    <row r="20" spans="5:18">
      <c r="G20" s="123"/>
      <c r="H20" s="123"/>
      <c r="I20" s="123"/>
      <c r="J20" s="123"/>
      <c r="K20" s="123"/>
      <c r="L20" s="123"/>
      <c r="M20" s="123"/>
      <c r="N20" s="123"/>
      <c r="O20" s="123"/>
      <c r="P20" s="123"/>
      <c r="Q20" s="123"/>
      <c r="R20" s="123"/>
    </row>
    <row r="21" spans="5:18">
      <c r="G21" s="123"/>
      <c r="H21" s="123"/>
      <c r="I21" s="123"/>
      <c r="J21" s="123"/>
      <c r="K21" s="123"/>
      <c r="L21" s="123"/>
      <c r="M21" s="123"/>
      <c r="N21" s="123"/>
      <c r="O21" s="123"/>
      <c r="P21" s="123"/>
      <c r="Q21" s="123"/>
      <c r="R21" s="123"/>
    </row>
    <row r="22" spans="5:18">
      <c r="G22" s="123"/>
      <c r="H22" s="123"/>
      <c r="I22" s="123"/>
      <c r="J22" s="123"/>
      <c r="K22" s="123"/>
      <c r="L22" s="123"/>
      <c r="M22" s="123"/>
      <c r="N22" s="123"/>
      <c r="O22" s="123"/>
      <c r="P22" s="123"/>
      <c r="Q22" s="123"/>
      <c r="R22" s="123"/>
    </row>
    <row r="23" spans="5:18">
      <c r="G23" s="123"/>
      <c r="H23" s="123"/>
      <c r="I23" s="123"/>
      <c r="J23" s="123"/>
      <c r="K23" s="123"/>
      <c r="L23" s="123"/>
      <c r="M23" s="123"/>
      <c r="N23" s="123"/>
      <c r="O23" s="123"/>
      <c r="P23" s="123"/>
      <c r="Q23" s="123"/>
      <c r="R23" s="123"/>
    </row>
    <row r="24" spans="5:18">
      <c r="G24" s="123"/>
      <c r="H24" s="123"/>
      <c r="I24" s="123"/>
      <c r="J24" s="123"/>
      <c r="K24" s="123"/>
      <c r="L24" s="123"/>
      <c r="M24" s="123"/>
      <c r="N24" s="123"/>
      <c r="O24" s="123"/>
      <c r="P24" s="123"/>
      <c r="Q24" s="123"/>
      <c r="R24" s="123"/>
    </row>
    <row r="25" spans="5:18">
      <c r="G25" s="123"/>
      <c r="H25" s="123"/>
      <c r="I25" s="123"/>
      <c r="J25" s="123"/>
      <c r="K25" s="123"/>
      <c r="L25" s="123"/>
      <c r="M25" s="123"/>
      <c r="N25" s="123"/>
      <c r="O25" s="123"/>
      <c r="P25" s="123"/>
      <c r="Q25" s="123"/>
      <c r="R25" s="123"/>
    </row>
    <row r="26" spans="5:18">
      <c r="G26" s="123"/>
      <c r="H26" s="123"/>
      <c r="I26" s="123"/>
      <c r="J26" s="123"/>
      <c r="K26" s="123"/>
      <c r="L26" s="123"/>
      <c r="M26" s="123"/>
      <c r="N26" s="123"/>
      <c r="O26" s="123"/>
      <c r="P26" s="123"/>
      <c r="Q26" s="123"/>
      <c r="R26" s="123"/>
    </row>
    <row r="27" spans="5:18">
      <c r="G27" s="123"/>
      <c r="H27" s="123"/>
      <c r="I27" s="123"/>
      <c r="J27" s="123"/>
      <c r="K27" s="123"/>
      <c r="L27" s="123"/>
      <c r="M27" s="123"/>
      <c r="N27" s="123"/>
      <c r="O27" s="123"/>
      <c r="P27" s="123"/>
      <c r="Q27" s="123"/>
      <c r="R27" s="123"/>
    </row>
  </sheetData>
  <conditionalFormatting sqref="F1:F1048576">
    <cfRule type="dataBar" priority="1">
      <dataBar>
        <cfvo type="min"/>
        <cfvo type="max"/>
        <color rgb="FFCEFAE0"/>
      </dataBar>
      <extLst>
        <ext xmlns:x14="http://schemas.microsoft.com/office/spreadsheetml/2009/9/main" uri="{B025F937-C7B1-47D3-B67F-A62EFF666E3E}">
          <x14:id>{EB228894-AF0E-4F30-A1F0-F5B5BD8C0FD3}</x14:id>
        </ext>
      </extLst>
    </cfRule>
  </conditionalFormatting>
  <conditionalFormatting sqref="G1:G1048576">
    <cfRule type="dataBar" priority="2">
      <dataBar>
        <cfvo type="min"/>
        <cfvo type="max"/>
        <color rgb="FF63C384"/>
      </dataBar>
      <extLst>
        <ext xmlns:x14="http://schemas.microsoft.com/office/spreadsheetml/2009/9/main" uri="{B025F937-C7B1-47D3-B67F-A62EFF666E3E}">
          <x14:id>{137E83FC-B0F9-479E-81B6-06D4529AA92E}</x14:id>
        </ext>
      </extLst>
    </cfRule>
  </conditionalFormatting>
  <pageMargins left="0.7" right="0.7" top="0.75" bottom="0.75" header="0.3" footer="0.3"/>
  <pageSetup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EB228894-AF0E-4F30-A1F0-F5B5BD8C0FD3}">
            <x14:dataBar minLength="0" maxLength="100" direction="leftToRight">
              <x14:cfvo type="autoMin"/>
              <x14:cfvo type="autoMax"/>
              <x14:negativeFillColor rgb="FFFF0000"/>
              <x14:axisColor rgb="FF000000"/>
            </x14:dataBar>
          </x14:cfRule>
          <xm:sqref>F1:F1048576</xm:sqref>
        </x14:conditionalFormatting>
        <x14:conditionalFormatting xmlns:xm="http://schemas.microsoft.com/office/excel/2006/main">
          <x14:cfRule type="dataBar" id="{137E83FC-B0F9-479E-81B6-06D4529AA92E}">
            <x14:dataBar minLength="0" maxLength="100" border="1" negativeBarBorderColorSameAsPositive="0">
              <x14:cfvo type="autoMin"/>
              <x14:cfvo type="autoMax"/>
              <x14:borderColor rgb="FF63C384"/>
              <x14:negativeFillColor rgb="FFFF0000"/>
              <x14:negativeBorderColor rgb="FFFF0000"/>
              <x14:axisColor rgb="FF000000"/>
            </x14:dataBar>
          </x14:cfRule>
          <xm:sqref>G1:G1048576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tabSelected="1" zoomScale="85" zoomScaleNormal="85" workbookViewId="0">
      <pane xSplit="2" ySplit="1" topLeftCell="J2" activePane="bottomRight" state="frozen"/>
      <selection pane="bottomRight" activeCell="M12" sqref="M12"/>
      <selection pane="bottomLeft"/>
      <selection pane="topRight"/>
    </sheetView>
  </sheetViews>
  <sheetFormatPr defaultColWidth="9.140625" defaultRowHeight="15"/>
  <cols>
    <col min="1" max="1" width="42" style="80" customWidth="1"/>
    <col min="2" max="2" width="24" style="58" customWidth="1"/>
    <col min="3" max="3" width="40.85546875" style="58" customWidth="1"/>
    <col min="4" max="4" width="23.5703125" style="58" customWidth="1"/>
    <col min="5" max="5" width="18" style="58" customWidth="1"/>
    <col min="6" max="6" width="17" style="58" customWidth="1"/>
    <col min="7" max="8" width="19" style="58" customWidth="1"/>
    <col min="9" max="9" width="81.42578125" style="57" customWidth="1"/>
    <col min="10" max="10" width="35.85546875" style="58" customWidth="1"/>
    <col min="11" max="11" width="28.28515625" style="58" customWidth="1"/>
    <col min="12" max="12" width="24.7109375" style="2" customWidth="1"/>
    <col min="13" max="13" width="255.7109375" style="57" bestFit="1" customWidth="1"/>
    <col min="14" max="16384" width="9.140625" style="2"/>
  </cols>
  <sheetData>
    <row r="1" spans="1:13" s="154" customFormat="1" ht="15.75">
      <c r="A1" s="148" t="s">
        <v>0</v>
      </c>
      <c r="B1" s="149" t="s">
        <v>1</v>
      </c>
      <c r="C1" s="149" t="s">
        <v>2</v>
      </c>
      <c r="D1" s="149" t="s">
        <v>3</v>
      </c>
      <c r="E1" s="149" t="s">
        <v>4</v>
      </c>
      <c r="F1" s="149" t="s">
        <v>5</v>
      </c>
      <c r="G1" s="149" t="s">
        <v>6</v>
      </c>
      <c r="H1" s="150" t="s">
        <v>7</v>
      </c>
      <c r="I1" s="151" t="s">
        <v>8</v>
      </c>
      <c r="J1" s="150" t="s">
        <v>9</v>
      </c>
      <c r="K1" s="152" t="s">
        <v>10</v>
      </c>
      <c r="L1" s="153" t="s">
        <v>11</v>
      </c>
      <c r="M1" s="191" t="s">
        <v>12</v>
      </c>
    </row>
    <row r="2" spans="1:13">
      <c r="M2" s="190"/>
    </row>
    <row r="3" spans="1:13" s="134" customFormat="1" ht="43.5">
      <c r="A3" s="95" t="s">
        <v>13</v>
      </c>
      <c r="B3" s="92" t="s">
        <v>14</v>
      </c>
      <c r="C3" s="92"/>
      <c r="D3" s="109">
        <v>0.9</v>
      </c>
      <c r="E3" s="92"/>
      <c r="F3" s="92"/>
      <c r="G3" s="92" t="s">
        <v>15</v>
      </c>
      <c r="H3" s="96" t="s">
        <v>16</v>
      </c>
      <c r="I3" s="97" t="s">
        <v>17</v>
      </c>
      <c r="J3" s="98"/>
      <c r="K3" s="98"/>
      <c r="L3" s="99"/>
      <c r="M3" s="88"/>
    </row>
    <row r="4" spans="1:13">
      <c r="A4" s="81" t="s">
        <v>18</v>
      </c>
      <c r="B4" s="1" t="s">
        <v>19</v>
      </c>
      <c r="C4" s="1"/>
      <c r="D4" s="110">
        <v>0.1</v>
      </c>
      <c r="E4" s="1"/>
      <c r="F4" s="1"/>
      <c r="G4" s="1" t="s">
        <v>20</v>
      </c>
      <c r="H4" s="1" t="s">
        <v>16</v>
      </c>
      <c r="I4" s="59" t="s">
        <v>21</v>
      </c>
      <c r="J4" s="60">
        <v>158215</v>
      </c>
      <c r="K4" s="1">
        <v>0</v>
      </c>
      <c r="L4" s="77">
        <v>0</v>
      </c>
      <c r="M4" s="1"/>
    </row>
    <row r="5" spans="1:13">
      <c r="A5" s="81" t="s">
        <v>22</v>
      </c>
      <c r="B5" s="1" t="s">
        <v>23</v>
      </c>
      <c r="C5" s="108" t="s">
        <v>24</v>
      </c>
      <c r="D5" s="111">
        <v>0.5</v>
      </c>
      <c r="E5" s="1"/>
      <c r="F5" s="1"/>
      <c r="G5" s="1" t="s">
        <v>15</v>
      </c>
      <c r="H5" s="1" t="s">
        <v>16</v>
      </c>
      <c r="I5" s="59" t="s">
        <v>25</v>
      </c>
      <c r="J5" s="1"/>
      <c r="K5" s="1"/>
      <c r="L5" s="77"/>
      <c r="M5" s="1"/>
    </row>
    <row r="6" spans="1:13" s="134" customFormat="1">
      <c r="A6" s="87" t="s">
        <v>26</v>
      </c>
      <c r="B6" s="92" t="s">
        <v>27</v>
      </c>
      <c r="C6" s="92"/>
      <c r="D6" s="109">
        <v>1</v>
      </c>
      <c r="E6" s="92"/>
      <c r="F6" s="92"/>
      <c r="G6" s="88"/>
      <c r="H6" s="88" t="s">
        <v>16</v>
      </c>
      <c r="I6" s="94" t="s">
        <v>27</v>
      </c>
      <c r="J6" s="88"/>
      <c r="K6" s="88"/>
      <c r="L6" s="90"/>
      <c r="M6" s="88"/>
    </row>
    <row r="7" spans="1:13">
      <c r="A7" s="81" t="s">
        <v>28</v>
      </c>
      <c r="B7" s="1" t="s">
        <v>29</v>
      </c>
      <c r="C7" s="1"/>
      <c r="D7" s="110">
        <v>0.1</v>
      </c>
      <c r="E7" s="1"/>
      <c r="F7" s="1"/>
      <c r="G7" s="1" t="s">
        <v>20</v>
      </c>
      <c r="H7" s="1" t="s">
        <v>16</v>
      </c>
      <c r="I7" s="61" t="s">
        <v>30</v>
      </c>
      <c r="J7" s="1"/>
      <c r="K7" s="1"/>
      <c r="L7" s="77"/>
      <c r="M7" s="1"/>
    </row>
    <row r="8" spans="1:13">
      <c r="A8" s="81" t="s">
        <v>31</v>
      </c>
      <c r="B8" s="1"/>
      <c r="C8" s="1"/>
      <c r="D8" s="110">
        <v>0.1</v>
      </c>
      <c r="E8" s="1"/>
      <c r="F8" s="1"/>
      <c r="G8" s="1"/>
      <c r="H8" s="1"/>
      <c r="I8" s="61" t="s">
        <v>32</v>
      </c>
      <c r="J8" s="1"/>
      <c r="K8" s="1"/>
      <c r="L8" s="77"/>
      <c r="M8" s="1"/>
    </row>
    <row r="9" spans="1:13" s="134" customFormat="1">
      <c r="A9" s="87" t="s">
        <v>33</v>
      </c>
      <c r="B9" s="88"/>
      <c r="C9" s="88"/>
      <c r="D9" s="112">
        <v>1</v>
      </c>
      <c r="E9" s="88"/>
      <c r="F9" s="88"/>
      <c r="G9" s="88"/>
      <c r="H9" s="88"/>
      <c r="I9" s="89" t="s">
        <v>34</v>
      </c>
      <c r="J9" s="88"/>
      <c r="K9" s="88"/>
      <c r="L9" s="90"/>
      <c r="M9" s="88"/>
    </row>
    <row r="10" spans="1:13">
      <c r="A10" s="100" t="s">
        <v>35</v>
      </c>
      <c r="B10" s="56" t="s">
        <v>36</v>
      </c>
      <c r="C10" s="56"/>
      <c r="D10" s="113">
        <v>0.1</v>
      </c>
      <c r="E10" s="56"/>
      <c r="F10" s="56"/>
      <c r="G10" s="1" t="s">
        <v>15</v>
      </c>
      <c r="H10" s="102"/>
      <c r="I10" s="103" t="s">
        <v>37</v>
      </c>
      <c r="J10" s="56"/>
      <c r="K10" s="56"/>
      <c r="L10" s="56"/>
      <c r="M10" s="56"/>
    </row>
    <row r="11" spans="1:13">
      <c r="A11" s="100" t="s">
        <v>38</v>
      </c>
      <c r="B11" s="1" t="s">
        <v>39</v>
      </c>
      <c r="C11" s="108" t="s">
        <v>40</v>
      </c>
      <c r="D11" s="111">
        <v>0.1</v>
      </c>
      <c r="E11" s="56"/>
      <c r="F11" s="56"/>
      <c r="G11" s="101"/>
      <c r="H11" s="102"/>
      <c r="I11" s="103" t="s">
        <v>41</v>
      </c>
      <c r="J11" s="56"/>
      <c r="K11" s="56"/>
      <c r="L11" s="56"/>
      <c r="M11" s="1"/>
    </row>
    <row r="12" spans="1:13" s="134" customFormat="1">
      <c r="A12" s="91" t="s">
        <v>42</v>
      </c>
      <c r="B12" s="92" t="s">
        <v>27</v>
      </c>
      <c r="C12" s="92"/>
      <c r="D12" s="109">
        <v>1</v>
      </c>
      <c r="E12" s="92"/>
      <c r="F12" s="92"/>
      <c r="G12" s="88" t="s">
        <v>20</v>
      </c>
      <c r="H12" s="88" t="s">
        <v>16</v>
      </c>
      <c r="I12" s="93" t="s">
        <v>43</v>
      </c>
      <c r="J12" s="88"/>
      <c r="K12" s="88"/>
      <c r="L12" s="90"/>
      <c r="M12" s="88"/>
    </row>
    <row r="13" spans="1:13" s="134" customFormat="1">
      <c r="A13" s="106" t="s">
        <v>44</v>
      </c>
      <c r="B13" s="1" t="s">
        <v>39</v>
      </c>
      <c r="C13" s="56"/>
      <c r="D13" s="113">
        <v>0.05</v>
      </c>
      <c r="E13" s="107">
        <v>46027</v>
      </c>
      <c r="F13" s="56"/>
      <c r="G13" s="101" t="s">
        <v>15</v>
      </c>
      <c r="H13" s="88" t="s">
        <v>16</v>
      </c>
      <c r="I13" s="103" t="s">
        <v>45</v>
      </c>
      <c r="J13" s="88"/>
      <c r="K13" s="88"/>
      <c r="L13" s="88"/>
      <c r="M13" s="88"/>
    </row>
    <row r="14" spans="1:13" s="134" customFormat="1">
      <c r="A14" s="169" t="s">
        <v>46</v>
      </c>
      <c r="B14" s="88" t="s">
        <v>14</v>
      </c>
      <c r="C14" s="140" t="s">
        <v>47</v>
      </c>
      <c r="D14" s="109">
        <v>0.8</v>
      </c>
      <c r="E14" s="92" t="s">
        <v>48</v>
      </c>
      <c r="F14" s="92" t="s">
        <v>49</v>
      </c>
      <c r="G14" s="92" t="s">
        <v>50</v>
      </c>
      <c r="H14" s="170" t="s">
        <v>51</v>
      </c>
      <c r="I14" s="93" t="s">
        <v>52</v>
      </c>
      <c r="J14" s="98"/>
      <c r="K14" s="98"/>
      <c r="L14" s="99"/>
      <c r="M14" s="139" t="s">
        <v>53</v>
      </c>
    </row>
    <row r="15" spans="1:13" s="71" customFormat="1">
      <c r="A15" s="75"/>
      <c r="B15" s="73"/>
      <c r="C15" s="73"/>
      <c r="D15" s="73"/>
      <c r="E15" s="73"/>
      <c r="F15" s="73"/>
      <c r="G15" s="73"/>
      <c r="H15" s="74"/>
      <c r="I15" s="85"/>
      <c r="J15" s="75" t="s">
        <v>9</v>
      </c>
      <c r="K15" s="76" t="s">
        <v>10</v>
      </c>
      <c r="L15" s="78" t="s">
        <v>11</v>
      </c>
      <c r="M15" s="73"/>
    </row>
    <row r="16" spans="1:13" ht="29.25">
      <c r="A16" s="82" t="s">
        <v>54</v>
      </c>
      <c r="B16" s="3" t="s">
        <v>14</v>
      </c>
      <c r="C16" s="115" t="s">
        <v>55</v>
      </c>
      <c r="D16" s="114">
        <v>0.65</v>
      </c>
      <c r="E16" s="3" t="s">
        <v>56</v>
      </c>
      <c r="F16" s="3" t="s">
        <v>49</v>
      </c>
      <c r="G16" s="3" t="s">
        <v>20</v>
      </c>
      <c r="H16" s="1" t="s">
        <v>57</v>
      </c>
      <c r="I16" s="63" t="s">
        <v>58</v>
      </c>
      <c r="J16" s="62">
        <v>161000</v>
      </c>
      <c r="K16" s="62">
        <v>24000</v>
      </c>
      <c r="L16" s="79">
        <v>29000</v>
      </c>
      <c r="M16" s="63" t="s">
        <v>58</v>
      </c>
    </row>
    <row r="17" spans="1:13" s="134" customFormat="1">
      <c r="A17" s="104" t="s">
        <v>59</v>
      </c>
      <c r="B17" s="92" t="s">
        <v>27</v>
      </c>
      <c r="C17" s="140" t="s">
        <v>60</v>
      </c>
      <c r="D17" s="109">
        <v>0.95</v>
      </c>
      <c r="E17" s="92" t="s">
        <v>27</v>
      </c>
      <c r="F17" s="92" t="s">
        <v>27</v>
      </c>
      <c r="G17" s="92" t="s">
        <v>20</v>
      </c>
      <c r="H17" s="88" t="s">
        <v>57</v>
      </c>
      <c r="I17" s="93" t="s">
        <v>61</v>
      </c>
      <c r="J17" s="105">
        <v>13800</v>
      </c>
      <c r="K17" s="105">
        <v>9200</v>
      </c>
      <c r="L17" s="135">
        <v>8000</v>
      </c>
      <c r="M17" s="97" t="s">
        <v>61</v>
      </c>
    </row>
    <row r="18" spans="1:13" ht="30">
      <c r="A18" s="67" t="s">
        <v>62</v>
      </c>
      <c r="B18" s="3" t="s">
        <v>14</v>
      </c>
      <c r="C18" s="115" t="s">
        <v>63</v>
      </c>
      <c r="D18" s="114">
        <v>0.9</v>
      </c>
      <c r="E18" s="3" t="s">
        <v>64</v>
      </c>
      <c r="F18" s="3"/>
      <c r="G18" s="3" t="s">
        <v>20</v>
      </c>
      <c r="H18" s="1" t="s">
        <v>57</v>
      </c>
      <c r="I18" s="63" t="s">
        <v>65</v>
      </c>
      <c r="J18" s="159">
        <v>49000</v>
      </c>
      <c r="K18" s="159">
        <v>0</v>
      </c>
      <c r="L18" s="156">
        <v>8820</v>
      </c>
      <c r="M18" s="63" t="s">
        <v>66</v>
      </c>
    </row>
    <row r="19" spans="1:13" ht="30">
      <c r="A19" s="67" t="s">
        <v>67</v>
      </c>
      <c r="B19" s="3" t="s">
        <v>68</v>
      </c>
      <c r="C19" s="3" t="s">
        <v>49</v>
      </c>
      <c r="D19" s="3" t="s">
        <v>49</v>
      </c>
      <c r="E19" s="3" t="s">
        <v>49</v>
      </c>
      <c r="F19" s="3" t="s">
        <v>49</v>
      </c>
      <c r="G19" s="3" t="s">
        <v>20</v>
      </c>
      <c r="H19" s="1" t="s">
        <v>57</v>
      </c>
      <c r="I19" s="157" t="s">
        <v>69</v>
      </c>
      <c r="J19" s="3" t="s">
        <v>49</v>
      </c>
      <c r="K19" s="3" t="s">
        <v>49</v>
      </c>
      <c r="L19" s="3" t="s">
        <v>49</v>
      </c>
      <c r="M19" s="155" t="s">
        <v>69</v>
      </c>
    </row>
    <row r="20" spans="1:13">
      <c r="A20" s="67" t="s">
        <v>70</v>
      </c>
      <c r="B20" s="3" t="s">
        <v>68</v>
      </c>
      <c r="C20" s="115" t="s">
        <v>71</v>
      </c>
      <c r="D20" s="114">
        <v>0.05</v>
      </c>
      <c r="E20" s="3" t="s">
        <v>49</v>
      </c>
      <c r="F20" s="3" t="s">
        <v>49</v>
      </c>
      <c r="G20" s="3" t="s">
        <v>20</v>
      </c>
      <c r="H20" s="1" t="s">
        <v>57</v>
      </c>
      <c r="I20" s="158" t="s">
        <v>72</v>
      </c>
      <c r="J20" s="3" t="s">
        <v>49</v>
      </c>
      <c r="K20" s="3" t="s">
        <v>49</v>
      </c>
      <c r="L20" s="3" t="s">
        <v>49</v>
      </c>
      <c r="M20" s="59" t="s">
        <v>72</v>
      </c>
    </row>
    <row r="21" spans="1:13">
      <c r="A21" s="67" t="s">
        <v>73</v>
      </c>
      <c r="B21" s="3" t="s">
        <v>68</v>
      </c>
      <c r="C21" s="115" t="s">
        <v>74</v>
      </c>
      <c r="D21" s="114">
        <v>0.05</v>
      </c>
      <c r="E21" s="3" t="s">
        <v>49</v>
      </c>
      <c r="F21" s="3" t="s">
        <v>49</v>
      </c>
      <c r="G21" s="3" t="s">
        <v>20</v>
      </c>
      <c r="H21" s="1" t="s">
        <v>57</v>
      </c>
      <c r="I21" s="158" t="s">
        <v>75</v>
      </c>
      <c r="J21" s="1" t="s">
        <v>49</v>
      </c>
      <c r="K21" s="1" t="s">
        <v>49</v>
      </c>
      <c r="L21" s="3" t="s">
        <v>49</v>
      </c>
      <c r="M21" s="59" t="s">
        <v>75</v>
      </c>
    </row>
    <row r="22" spans="1:13" s="134" customFormat="1">
      <c r="A22" s="104" t="s">
        <v>76</v>
      </c>
      <c r="B22" s="92" t="s">
        <v>27</v>
      </c>
      <c r="C22" s="92"/>
      <c r="D22" s="109">
        <v>1</v>
      </c>
      <c r="E22" s="92" t="s">
        <v>27</v>
      </c>
      <c r="F22" s="92" t="s">
        <v>27</v>
      </c>
      <c r="G22" s="92" t="s">
        <v>20</v>
      </c>
      <c r="H22" s="92" t="s">
        <v>57</v>
      </c>
      <c r="I22" s="136" t="s">
        <v>27</v>
      </c>
      <c r="J22" s="105">
        <v>6000</v>
      </c>
      <c r="K22" s="105">
        <v>0</v>
      </c>
      <c r="L22" s="135">
        <v>1000</v>
      </c>
      <c r="M22" s="93"/>
    </row>
    <row r="23" spans="1:13" s="134" customFormat="1">
      <c r="A23" s="95" t="s">
        <v>77</v>
      </c>
      <c r="B23" s="92" t="s">
        <v>27</v>
      </c>
      <c r="C23" s="92"/>
      <c r="D23" s="109">
        <v>1</v>
      </c>
      <c r="E23" s="92" t="s">
        <v>27</v>
      </c>
      <c r="F23" s="92" t="s">
        <v>27</v>
      </c>
      <c r="G23" s="92" t="s">
        <v>20</v>
      </c>
      <c r="H23" s="92" t="s">
        <v>57</v>
      </c>
      <c r="I23" s="94" t="s">
        <v>27</v>
      </c>
      <c r="J23" s="105">
        <v>10000</v>
      </c>
      <c r="K23" s="105">
        <v>0</v>
      </c>
      <c r="L23" s="135">
        <v>2000</v>
      </c>
      <c r="M23" s="93"/>
    </row>
    <row r="24" spans="1:13" s="71" customFormat="1">
      <c r="A24" s="83"/>
      <c r="B24" s="72"/>
      <c r="C24" s="72"/>
      <c r="D24" s="72"/>
      <c r="E24" s="72"/>
      <c r="F24" s="72"/>
      <c r="G24" s="72"/>
      <c r="H24" s="72"/>
      <c r="I24" s="86"/>
      <c r="J24" s="70"/>
      <c r="K24" s="70"/>
      <c r="L24" s="70"/>
      <c r="M24" s="68"/>
    </row>
    <row r="25" spans="1:13" s="160" customFormat="1" ht="115.5">
      <c r="A25" s="161" t="s">
        <v>78</v>
      </c>
      <c r="B25" s="102" t="s">
        <v>14</v>
      </c>
      <c r="C25" s="162" t="s">
        <v>79</v>
      </c>
      <c r="D25" s="163">
        <v>0.18</v>
      </c>
      <c r="E25" s="102" t="s">
        <v>80</v>
      </c>
      <c r="F25" s="102" t="s">
        <v>81</v>
      </c>
      <c r="G25" s="102" t="s">
        <v>15</v>
      </c>
      <c r="H25" s="102" t="s">
        <v>82</v>
      </c>
      <c r="I25" s="174" t="s">
        <v>83</v>
      </c>
      <c r="J25" s="171">
        <v>35970</v>
      </c>
      <c r="K25" s="172">
        <v>0</v>
      </c>
      <c r="L25" s="173" t="s">
        <v>84</v>
      </c>
      <c r="M25" s="175" t="s">
        <v>85</v>
      </c>
    </row>
    <row r="26" spans="1:13" s="134" customFormat="1" ht="180">
      <c r="A26" s="104" t="s">
        <v>86</v>
      </c>
      <c r="B26" s="88" t="s">
        <v>14</v>
      </c>
      <c r="C26" s="137" t="s">
        <v>87</v>
      </c>
      <c r="D26" s="112">
        <v>0.99</v>
      </c>
      <c r="E26" s="138">
        <v>46388</v>
      </c>
      <c r="F26" s="88" t="s">
        <v>88</v>
      </c>
      <c r="G26" s="88" t="s">
        <v>15</v>
      </c>
      <c r="H26" s="88" t="s">
        <v>82</v>
      </c>
      <c r="I26" s="97" t="s">
        <v>89</v>
      </c>
      <c r="J26" s="176" t="s">
        <v>90</v>
      </c>
      <c r="K26" s="176" t="s">
        <v>91</v>
      </c>
      <c r="L26" s="177" t="s">
        <v>92</v>
      </c>
      <c r="M26" s="97" t="s">
        <v>93</v>
      </c>
    </row>
    <row r="27" spans="1:13" s="147" customFormat="1" ht="255">
      <c r="A27" s="104" t="s">
        <v>94</v>
      </c>
      <c r="B27" s="92" t="s">
        <v>27</v>
      </c>
      <c r="C27" s="140" t="s">
        <v>95</v>
      </c>
      <c r="D27" s="109">
        <v>1</v>
      </c>
      <c r="E27" s="141">
        <v>46054</v>
      </c>
      <c r="F27" s="92" t="s">
        <v>96</v>
      </c>
      <c r="G27" s="142" t="s">
        <v>15</v>
      </c>
      <c r="H27" s="88" t="s">
        <v>82</v>
      </c>
      <c r="I27" s="143" t="s">
        <v>97</v>
      </c>
      <c r="J27" s="144">
        <v>32160</v>
      </c>
      <c r="K27" s="144">
        <v>0</v>
      </c>
      <c r="L27" s="145">
        <v>32160</v>
      </c>
      <c r="M27" s="146"/>
    </row>
    <row r="28" spans="1:13" s="71" customFormat="1">
      <c r="A28" s="84"/>
      <c r="B28" s="69" t="s">
        <v>98</v>
      </c>
      <c r="C28" s="69"/>
      <c r="D28" s="69"/>
      <c r="E28" s="69"/>
      <c r="F28" s="69"/>
      <c r="G28" s="69"/>
      <c r="H28" s="69"/>
      <c r="I28" s="68"/>
      <c r="J28" s="70"/>
      <c r="K28" s="70"/>
      <c r="L28" s="70"/>
      <c r="M28" s="68"/>
    </row>
    <row r="29" spans="1:13" ht="30">
      <c r="A29" s="82" t="s">
        <v>99</v>
      </c>
      <c r="B29" s="1" t="s">
        <v>14</v>
      </c>
      <c r="C29" s="108" t="s">
        <v>100</v>
      </c>
      <c r="D29" s="110">
        <v>0.5</v>
      </c>
      <c r="E29" s="1" t="s">
        <v>101</v>
      </c>
      <c r="F29" s="1" t="s">
        <v>49</v>
      </c>
      <c r="G29" s="1" t="s">
        <v>50</v>
      </c>
      <c r="H29" s="1" t="s">
        <v>51</v>
      </c>
      <c r="I29" s="66" t="s">
        <v>102</v>
      </c>
      <c r="J29" s="64" t="s">
        <v>103</v>
      </c>
      <c r="K29" s="1" t="s">
        <v>104</v>
      </c>
      <c r="L29" s="77" t="s">
        <v>104</v>
      </c>
      <c r="M29" s="129" t="s">
        <v>105</v>
      </c>
    </row>
    <row r="30" spans="1:13" ht="285">
      <c r="A30" s="67" t="s">
        <v>106</v>
      </c>
      <c r="B30" s="1" t="s">
        <v>14</v>
      </c>
      <c r="C30" s="108" t="s">
        <v>107</v>
      </c>
      <c r="D30" s="110">
        <v>0.25</v>
      </c>
      <c r="E30" s="1" t="s">
        <v>108</v>
      </c>
      <c r="F30" s="1" t="s">
        <v>49</v>
      </c>
      <c r="G30" s="1" t="s">
        <v>50</v>
      </c>
      <c r="H30" s="1" t="s">
        <v>51</v>
      </c>
      <c r="I30" s="66" t="s">
        <v>109</v>
      </c>
      <c r="J30" s="166" t="s">
        <v>110</v>
      </c>
      <c r="K30" s="3" t="s">
        <v>104</v>
      </c>
      <c r="L30" s="167" t="s">
        <v>104</v>
      </c>
      <c r="M30" s="129" t="s">
        <v>111</v>
      </c>
    </row>
    <row r="31" spans="1:13" ht="29.25">
      <c r="A31" s="106" t="s">
        <v>112</v>
      </c>
      <c r="B31" s="1" t="s">
        <v>14</v>
      </c>
      <c r="C31" s="1"/>
      <c r="D31" s="110">
        <v>0.05</v>
      </c>
      <c r="E31" s="107">
        <v>46177</v>
      </c>
      <c r="F31" s="56"/>
      <c r="G31" s="101" t="s">
        <v>15</v>
      </c>
      <c r="H31" s="164" t="s">
        <v>16</v>
      </c>
      <c r="I31" s="168" t="s">
        <v>113</v>
      </c>
      <c r="J31" s="65" t="s">
        <v>114</v>
      </c>
      <c r="K31" s="1" t="s">
        <v>114</v>
      </c>
      <c r="L31" s="1" t="s">
        <v>104</v>
      </c>
      <c r="M31" s="165" t="s">
        <v>115</v>
      </c>
    </row>
    <row r="32" spans="1:13">
      <c r="A32" s="169" t="s">
        <v>46</v>
      </c>
      <c r="B32" s="88" t="s">
        <v>116</v>
      </c>
      <c r="C32" s="140" t="s">
        <v>47</v>
      </c>
      <c r="D32" s="109">
        <v>1</v>
      </c>
      <c r="E32" s="92" t="s">
        <v>48</v>
      </c>
      <c r="F32" s="92" t="s">
        <v>117</v>
      </c>
      <c r="G32" s="92" t="s">
        <v>50</v>
      </c>
      <c r="H32" s="170" t="s">
        <v>51</v>
      </c>
      <c r="I32" s="93" t="s">
        <v>118</v>
      </c>
      <c r="J32" s="98"/>
      <c r="K32" s="98"/>
      <c r="L32" s="99"/>
      <c r="M32" s="139" t="s">
        <v>119</v>
      </c>
    </row>
    <row r="33" spans="1:13" s="71" customFormat="1">
      <c r="A33" s="84"/>
      <c r="B33" s="69"/>
      <c r="C33" s="69"/>
      <c r="D33" s="69"/>
      <c r="E33" s="69"/>
      <c r="F33" s="69"/>
      <c r="G33" s="69"/>
      <c r="H33" s="69"/>
      <c r="I33" s="68"/>
      <c r="J33" s="70"/>
      <c r="K33" s="70"/>
      <c r="L33" s="70"/>
      <c r="M33" s="68"/>
    </row>
    <row r="34" spans="1:13" ht="90">
      <c r="A34" s="104" t="s">
        <v>120</v>
      </c>
      <c r="B34" s="88" t="s">
        <v>14</v>
      </c>
      <c r="C34" s="137" t="s">
        <v>121</v>
      </c>
      <c r="D34" s="112">
        <v>0.95</v>
      </c>
      <c r="E34" s="88" t="s">
        <v>122</v>
      </c>
      <c r="F34" s="88" t="s">
        <v>123</v>
      </c>
      <c r="G34" s="88" t="s">
        <v>15</v>
      </c>
      <c r="H34" s="88" t="s">
        <v>124</v>
      </c>
      <c r="I34" s="93" t="s">
        <v>125</v>
      </c>
      <c r="J34" s="139" t="s">
        <v>126</v>
      </c>
      <c r="K34" s="88" t="s">
        <v>127</v>
      </c>
      <c r="L34" s="145">
        <v>200000</v>
      </c>
      <c r="M34" s="97" t="s">
        <v>128</v>
      </c>
    </row>
    <row r="35" spans="1:13">
      <c r="A35" s="67"/>
      <c r="B35" s="1"/>
      <c r="C35" s="1"/>
      <c r="D35" s="1"/>
      <c r="E35" s="1"/>
      <c r="F35" s="1"/>
      <c r="G35" s="1"/>
      <c r="H35" s="1"/>
      <c r="I35" s="55"/>
      <c r="J35" s="1"/>
      <c r="K35" s="1"/>
      <c r="L35" s="77"/>
      <c r="M35" s="55"/>
    </row>
    <row r="36" spans="1:13">
      <c r="A36" s="67"/>
      <c r="B36" s="1"/>
      <c r="C36" s="1"/>
      <c r="D36" s="1"/>
      <c r="E36" s="1"/>
      <c r="F36" s="1"/>
      <c r="G36" s="1"/>
      <c r="H36" s="1"/>
      <c r="I36" s="55"/>
      <c r="J36" s="1"/>
      <c r="K36" s="1"/>
      <c r="L36" s="77"/>
      <c r="M36" s="55"/>
    </row>
  </sheetData>
  <hyperlinks>
    <hyperlink ref="C29" r:id="rId1" xr:uid="{B4FF82E1-B73A-4C87-AD46-AC7B911C239E}"/>
    <hyperlink ref="C30" r:id="rId2" xr:uid="{23EF6DCC-1BFE-4786-AD13-E89078457820}"/>
    <hyperlink ref="C32" r:id="rId3" xr:uid="{CAF525A2-2FD3-40E8-90E4-8ABB3A46F9A6}"/>
    <hyperlink ref="C27" r:id="rId4" xr:uid="{F4694036-466F-4B1D-B62F-2F444520113F}"/>
    <hyperlink ref="C26" r:id="rId5" xr:uid="{E20B01A3-DD67-4102-A235-63EF2380C0EC}"/>
    <hyperlink ref="C5" r:id="rId6" xr:uid="{BD83A92F-BB3B-4983-AB55-5E09910F590F}"/>
    <hyperlink ref="C11" r:id="rId7" xr:uid="{9791F2E9-805E-42D0-80F3-40E9F4B8D63F}"/>
    <hyperlink ref="C34" r:id="rId8" xr:uid="{7D592E73-C77B-4842-B919-937C6C8A2A21}"/>
    <hyperlink ref="C16" r:id="rId9" xr:uid="{1848CB61-D805-409C-96FE-868B179F9D09}"/>
    <hyperlink ref="C17" r:id="rId10" xr:uid="{50B01641-45EA-463E-93CE-28FD71002AAD}"/>
    <hyperlink ref="C18" r:id="rId11" xr:uid="{AB04C9C2-2432-412B-B753-546D20A5500A}"/>
    <hyperlink ref="C20" r:id="rId12" xr:uid="{842FF4E8-F78B-48CC-A08D-ED0CBFA84206}"/>
    <hyperlink ref="C21" r:id="rId13" xr:uid="{E5B75032-248C-47AF-BEA1-190890885FF4}"/>
    <hyperlink ref="C25" r:id="rId14" xr:uid="{3BE2E5BB-270A-4750-B042-5856EBEEDB2C}"/>
    <hyperlink ref="C14" r:id="rId15" xr:uid="{2425674E-9D34-4154-B61A-E2E7096BB9D9}"/>
  </hyperlinks>
  <pageMargins left="0.7" right="0.7" top="0.75" bottom="0.75" header="0.3" footer="0.3"/>
  <pageSetup orientation="portrait" horizontalDpi="0" verticalDpi="0" r:id="rId16"/>
  <tableParts count="1">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CCAD9-0F5E-4266-A55F-A0E09A195A55}">
  <dimension ref="A1:I51"/>
  <sheetViews>
    <sheetView topLeftCell="A33" workbookViewId="0">
      <selection activeCell="B55" sqref="B55"/>
    </sheetView>
  </sheetViews>
  <sheetFormatPr defaultRowHeight="15"/>
  <cols>
    <col min="2" max="2" width="29.7109375" customWidth="1"/>
    <col min="3" max="3" width="37.7109375" customWidth="1"/>
    <col min="4" max="4" width="30.140625" customWidth="1"/>
    <col min="5" max="5" width="26.5703125" customWidth="1"/>
    <col min="6" max="6" width="24" customWidth="1"/>
    <col min="7" max="7" width="27.85546875" customWidth="1"/>
    <col min="8" max="8" width="49.7109375" customWidth="1"/>
  </cols>
  <sheetData>
    <row r="1" spans="1:9" ht="21">
      <c r="B1" s="54" t="s">
        <v>129</v>
      </c>
    </row>
    <row r="3" spans="1:9" ht="15.75">
      <c r="A3" s="4"/>
      <c r="B3" s="192" t="s">
        <v>130</v>
      </c>
      <c r="C3" s="192"/>
      <c r="D3" s="5">
        <v>45988</v>
      </c>
      <c r="E3" s="6">
        <v>158215</v>
      </c>
      <c r="F3" s="4"/>
      <c r="G3" s="4"/>
      <c r="H3" s="4"/>
    </row>
    <row r="4" spans="1:9">
      <c r="A4" s="4"/>
      <c r="B4" s="4"/>
      <c r="C4" s="4"/>
      <c r="D4" s="4"/>
      <c r="E4" s="4"/>
      <c r="F4" s="4"/>
      <c r="G4" s="4"/>
      <c r="H4" s="4"/>
    </row>
    <row r="5" spans="1:9">
      <c r="A5" s="7"/>
      <c r="B5" s="8" t="s">
        <v>131</v>
      </c>
      <c r="C5" s="9" t="s">
        <v>132</v>
      </c>
      <c r="D5" s="9" t="s">
        <v>133</v>
      </c>
      <c r="E5" s="9" t="s">
        <v>134</v>
      </c>
      <c r="F5" s="9" t="s">
        <v>135</v>
      </c>
      <c r="G5" s="9" t="s">
        <v>136</v>
      </c>
      <c r="H5" s="9" t="s">
        <v>137</v>
      </c>
    </row>
    <row r="6" spans="1:9">
      <c r="A6" s="4"/>
      <c r="B6" s="10">
        <v>1291</v>
      </c>
      <c r="C6" s="11" t="s">
        <v>138</v>
      </c>
      <c r="D6" s="12">
        <v>11</v>
      </c>
      <c r="E6" s="13">
        <v>45729</v>
      </c>
      <c r="F6" s="14">
        <v>72500</v>
      </c>
      <c r="G6" s="12" t="s">
        <v>139</v>
      </c>
      <c r="H6" s="11" t="s">
        <v>140</v>
      </c>
    </row>
    <row r="7" spans="1:9">
      <c r="A7" s="4"/>
      <c r="B7" s="10">
        <v>1291</v>
      </c>
      <c r="C7" s="11" t="s">
        <v>138</v>
      </c>
      <c r="D7" s="12">
        <v>11</v>
      </c>
      <c r="E7" s="13">
        <v>45734</v>
      </c>
      <c r="F7" s="14">
        <v>35750</v>
      </c>
      <c r="G7" s="12" t="s">
        <v>141</v>
      </c>
      <c r="H7" s="11" t="s">
        <v>142</v>
      </c>
    </row>
    <row r="8" spans="1:9">
      <c r="A8" s="4"/>
      <c r="B8" s="10">
        <v>1291</v>
      </c>
      <c r="C8" s="11" t="s">
        <v>138</v>
      </c>
      <c r="D8" s="12">
        <v>11</v>
      </c>
      <c r="E8" s="13">
        <v>45860</v>
      </c>
      <c r="F8" s="14">
        <v>35750</v>
      </c>
      <c r="G8" s="12" t="s">
        <v>141</v>
      </c>
      <c r="H8" s="11" t="s">
        <v>143</v>
      </c>
    </row>
    <row r="9" spans="1:9">
      <c r="A9" s="4"/>
      <c r="B9" s="10">
        <v>1291</v>
      </c>
      <c r="C9" s="11" t="s">
        <v>138</v>
      </c>
      <c r="D9" s="12">
        <v>11</v>
      </c>
      <c r="E9" s="13">
        <v>45896</v>
      </c>
      <c r="F9" s="14">
        <v>14215</v>
      </c>
      <c r="G9" s="12" t="s">
        <v>144</v>
      </c>
      <c r="H9" s="11" t="s">
        <v>145</v>
      </c>
    </row>
    <row r="10" spans="1:9">
      <c r="A10" s="4"/>
      <c r="B10" s="187" t="s">
        <v>146</v>
      </c>
      <c r="C10" s="188"/>
      <c r="D10" s="188"/>
      <c r="E10" s="189"/>
      <c r="F10" s="16">
        <v>158215</v>
      </c>
      <c r="G10" s="15" t="s">
        <v>147</v>
      </c>
      <c r="H10" s="17" t="s">
        <v>148</v>
      </c>
    </row>
    <row r="15" spans="1:9" ht="21">
      <c r="B15" s="54" t="s">
        <v>13</v>
      </c>
    </row>
    <row r="16" spans="1:9">
      <c r="A16" s="4"/>
      <c r="B16" s="4"/>
      <c r="C16" s="4"/>
      <c r="D16" s="4"/>
      <c r="E16" s="4"/>
      <c r="F16" s="4"/>
      <c r="G16" s="4"/>
      <c r="H16" s="4"/>
      <c r="I16" s="4"/>
    </row>
    <row r="17" spans="1:9">
      <c r="A17" s="4"/>
      <c r="B17" s="4"/>
      <c r="C17" s="4"/>
      <c r="D17" s="4"/>
      <c r="E17" s="4"/>
      <c r="F17" s="4"/>
      <c r="G17" s="4"/>
      <c r="H17" s="4"/>
      <c r="I17" s="4"/>
    </row>
    <row r="18" spans="1:9" ht="15.75">
      <c r="A18" s="4"/>
      <c r="B18" s="4"/>
      <c r="C18" s="4"/>
      <c r="D18" s="4"/>
      <c r="E18" s="4"/>
      <c r="F18" s="18" t="s">
        <v>149</v>
      </c>
      <c r="G18" s="4"/>
      <c r="H18" s="4"/>
      <c r="I18" s="4"/>
    </row>
    <row r="19" spans="1:9" ht="15.75">
      <c r="A19" s="4"/>
      <c r="B19" s="4"/>
      <c r="C19" s="4"/>
      <c r="D19" s="4"/>
      <c r="E19" s="4"/>
      <c r="F19" s="19" t="s">
        <v>150</v>
      </c>
      <c r="G19" s="4"/>
      <c r="H19" s="4"/>
      <c r="I19" s="4"/>
    </row>
    <row r="20" spans="1:9" ht="15.75">
      <c r="A20" s="4"/>
      <c r="B20" s="4"/>
      <c r="C20" s="4"/>
      <c r="D20" s="4"/>
      <c r="E20" s="4"/>
      <c r="F20" s="20" t="s">
        <v>151</v>
      </c>
      <c r="G20" s="4"/>
      <c r="H20" s="4"/>
      <c r="I20" s="4"/>
    </row>
    <row r="21" spans="1:9" ht="15.75">
      <c r="A21" s="4"/>
      <c r="B21" s="4"/>
      <c r="C21" s="4"/>
      <c r="D21" s="4"/>
      <c r="E21" s="4"/>
      <c r="F21" s="21" t="s">
        <v>152</v>
      </c>
      <c r="G21" s="4"/>
      <c r="H21" s="4"/>
      <c r="I21" s="4"/>
    </row>
    <row r="22" spans="1:9" ht="15" customHeight="1">
      <c r="A22" s="22">
        <v>1</v>
      </c>
      <c r="B22" s="23" t="s">
        <v>153</v>
      </c>
      <c r="C22" s="24" t="s">
        <v>154</v>
      </c>
      <c r="D22" s="24" t="s">
        <v>155</v>
      </c>
      <c r="E22" s="24" t="s">
        <v>156</v>
      </c>
      <c r="F22" s="25" t="s">
        <v>157</v>
      </c>
      <c r="G22" s="193" t="s">
        <v>158</v>
      </c>
      <c r="H22" s="193"/>
      <c r="I22" s="194"/>
    </row>
    <row r="23" spans="1:9" ht="15.75">
      <c r="A23" s="4"/>
      <c r="B23" s="26" t="s">
        <v>159</v>
      </c>
      <c r="C23" s="27">
        <v>161000</v>
      </c>
      <c r="D23" s="28" t="s">
        <v>160</v>
      </c>
      <c r="E23" s="14">
        <v>161000</v>
      </c>
      <c r="F23" s="19" t="s">
        <v>150</v>
      </c>
      <c r="G23" s="29" t="s">
        <v>148</v>
      </c>
      <c r="H23" s="29" t="s">
        <v>148</v>
      </c>
      <c r="I23" s="29" t="s">
        <v>148</v>
      </c>
    </row>
    <row r="24" spans="1:9" ht="15.75">
      <c r="A24" s="4"/>
      <c r="B24" s="26" t="s">
        <v>161</v>
      </c>
      <c r="C24" s="27">
        <v>100000</v>
      </c>
      <c r="D24" s="28" t="s">
        <v>160</v>
      </c>
      <c r="E24" s="14">
        <v>100000</v>
      </c>
      <c r="F24" s="19" t="s">
        <v>150</v>
      </c>
      <c r="G24" s="29" t="s">
        <v>148</v>
      </c>
      <c r="H24" s="29" t="s">
        <v>148</v>
      </c>
      <c r="I24" s="29" t="s">
        <v>148</v>
      </c>
    </row>
    <row r="25" spans="1:9" ht="30">
      <c r="A25" s="4"/>
      <c r="B25" s="26" t="s">
        <v>162</v>
      </c>
      <c r="C25" s="27">
        <v>100000</v>
      </c>
      <c r="D25" s="30">
        <v>55650</v>
      </c>
      <c r="E25" s="14">
        <v>44350</v>
      </c>
      <c r="F25" s="18" t="s">
        <v>149</v>
      </c>
      <c r="G25" s="31" t="s">
        <v>163</v>
      </c>
      <c r="H25" s="29" t="s">
        <v>148</v>
      </c>
      <c r="I25" s="29" t="s">
        <v>148</v>
      </c>
    </row>
    <row r="26" spans="1:9" ht="30">
      <c r="A26" s="4"/>
      <c r="B26" s="26" t="s">
        <v>164</v>
      </c>
      <c r="C26" s="27">
        <v>750000</v>
      </c>
      <c r="D26" s="30">
        <v>722719</v>
      </c>
      <c r="E26" s="14">
        <v>27281</v>
      </c>
      <c r="F26" s="18" t="s">
        <v>149</v>
      </c>
      <c r="G26" s="31" t="s">
        <v>165</v>
      </c>
      <c r="H26" s="32" t="s">
        <v>166</v>
      </c>
      <c r="I26" s="29" t="s">
        <v>148</v>
      </c>
    </row>
    <row r="27" spans="1:9" ht="15.75">
      <c r="A27" s="4"/>
      <c r="B27" s="10" t="s">
        <v>167</v>
      </c>
      <c r="C27" s="33">
        <v>86000</v>
      </c>
      <c r="D27" s="30">
        <v>51600</v>
      </c>
      <c r="E27" s="14">
        <v>34400</v>
      </c>
      <c r="F27" s="18" t="s">
        <v>149</v>
      </c>
      <c r="G27" s="29" t="s">
        <v>148</v>
      </c>
      <c r="H27" s="29" t="s">
        <v>148</v>
      </c>
      <c r="I27" s="29" t="s">
        <v>148</v>
      </c>
    </row>
    <row r="28" spans="1:9" ht="15.75">
      <c r="A28" s="4"/>
      <c r="B28" s="10" t="s">
        <v>168</v>
      </c>
      <c r="C28" s="14">
        <v>400000</v>
      </c>
      <c r="D28" s="30">
        <v>175000</v>
      </c>
      <c r="E28" s="14">
        <v>225000</v>
      </c>
      <c r="F28" s="18" t="s">
        <v>149</v>
      </c>
      <c r="G28" s="29" t="s">
        <v>148</v>
      </c>
      <c r="H28" s="29" t="s">
        <v>148</v>
      </c>
      <c r="I28" s="29" t="s">
        <v>148</v>
      </c>
    </row>
    <row r="29" spans="1:9" ht="30">
      <c r="A29" s="4"/>
      <c r="B29" s="10" t="s">
        <v>169</v>
      </c>
      <c r="C29" s="14">
        <v>300000</v>
      </c>
      <c r="D29" s="30">
        <v>175800</v>
      </c>
      <c r="E29" s="14">
        <v>124200</v>
      </c>
      <c r="F29" s="18" t="s">
        <v>149</v>
      </c>
      <c r="G29" s="31" t="s">
        <v>170</v>
      </c>
      <c r="H29" s="29" t="s">
        <v>148</v>
      </c>
      <c r="I29" s="29" t="s">
        <v>148</v>
      </c>
    </row>
    <row r="30" spans="1:9" ht="30">
      <c r="A30" s="4"/>
      <c r="B30" s="26" t="s">
        <v>171</v>
      </c>
      <c r="C30" s="27">
        <v>283000</v>
      </c>
      <c r="D30" s="30">
        <v>283000</v>
      </c>
      <c r="E30" s="12" t="s">
        <v>172</v>
      </c>
      <c r="F30" s="19" t="s">
        <v>150</v>
      </c>
      <c r="G30" s="32" t="s">
        <v>173</v>
      </c>
      <c r="H30" s="29" t="s">
        <v>148</v>
      </c>
      <c r="I30" s="29" t="s">
        <v>148</v>
      </c>
    </row>
    <row r="31" spans="1:9" ht="45">
      <c r="A31" s="4"/>
      <c r="B31" s="26" t="s">
        <v>174</v>
      </c>
      <c r="C31" s="34">
        <v>650000</v>
      </c>
      <c r="D31" s="30">
        <v>600559</v>
      </c>
      <c r="E31" s="14">
        <v>49441</v>
      </c>
      <c r="F31" s="18" t="s">
        <v>149</v>
      </c>
      <c r="G31" s="32" t="s">
        <v>175</v>
      </c>
      <c r="H31" s="29" t="s">
        <v>148</v>
      </c>
      <c r="I31" s="29" t="s">
        <v>148</v>
      </c>
    </row>
    <row r="32" spans="1:9" ht="15.75">
      <c r="A32" s="4"/>
      <c r="B32" s="10" t="s">
        <v>176</v>
      </c>
      <c r="C32" s="14">
        <v>400000</v>
      </c>
      <c r="D32" s="28" t="s">
        <v>160</v>
      </c>
      <c r="E32" s="14">
        <v>400000</v>
      </c>
      <c r="F32" s="19" t="s">
        <v>150</v>
      </c>
      <c r="G32" s="29" t="s">
        <v>148</v>
      </c>
      <c r="H32" s="29" t="s">
        <v>148</v>
      </c>
      <c r="I32" s="29" t="s">
        <v>148</v>
      </c>
    </row>
    <row r="33" spans="1:9" ht="75">
      <c r="A33" s="4"/>
      <c r="B33" s="26" t="s">
        <v>177</v>
      </c>
      <c r="C33" s="36">
        <v>175000</v>
      </c>
      <c r="D33" s="30">
        <v>45362</v>
      </c>
      <c r="E33" s="14">
        <v>129638</v>
      </c>
      <c r="F33" s="18" t="s">
        <v>149</v>
      </c>
      <c r="G33" s="32" t="s">
        <v>178</v>
      </c>
      <c r="H33" s="32" t="s">
        <v>179</v>
      </c>
      <c r="I33" s="32" t="s">
        <v>180</v>
      </c>
    </row>
    <row r="34" spans="1:9" ht="15.75">
      <c r="A34" s="4"/>
      <c r="B34" s="26" t="s">
        <v>181</v>
      </c>
      <c r="C34" s="36">
        <v>175000</v>
      </c>
      <c r="D34" s="28" t="s">
        <v>160</v>
      </c>
      <c r="E34" s="14">
        <v>175000</v>
      </c>
      <c r="F34" s="19" t="s">
        <v>150</v>
      </c>
      <c r="G34" s="29" t="s">
        <v>148</v>
      </c>
      <c r="H34" s="29" t="s">
        <v>148</v>
      </c>
      <c r="I34" s="29" t="s">
        <v>148</v>
      </c>
    </row>
    <row r="35" spans="1:9" ht="30">
      <c r="A35" s="4"/>
      <c r="B35" s="26" t="s">
        <v>182</v>
      </c>
      <c r="C35" s="36">
        <v>120000</v>
      </c>
      <c r="D35" s="30">
        <v>26460</v>
      </c>
      <c r="E35" s="14">
        <v>93540</v>
      </c>
      <c r="F35" s="18" t="s">
        <v>149</v>
      </c>
      <c r="G35" s="32" t="s">
        <v>183</v>
      </c>
      <c r="H35" s="31" t="s">
        <v>184</v>
      </c>
      <c r="I35" s="29" t="s">
        <v>148</v>
      </c>
    </row>
    <row r="36" spans="1:9" ht="15.75">
      <c r="A36" s="4"/>
      <c r="B36" s="37" t="s">
        <v>185</v>
      </c>
      <c r="C36" s="38">
        <v>200000</v>
      </c>
      <c r="D36" s="30">
        <v>107830</v>
      </c>
      <c r="E36" s="14">
        <v>92170</v>
      </c>
      <c r="F36" s="18" t="s">
        <v>149</v>
      </c>
      <c r="G36" s="29" t="s">
        <v>148</v>
      </c>
      <c r="H36" s="29" t="s">
        <v>148</v>
      </c>
      <c r="I36" s="29" t="s">
        <v>148</v>
      </c>
    </row>
    <row r="37" spans="1:9" ht="15.75">
      <c r="A37" s="4"/>
      <c r="B37" s="37" t="s">
        <v>186</v>
      </c>
      <c r="C37" s="38">
        <v>323664</v>
      </c>
      <c r="D37" s="28" t="s">
        <v>160</v>
      </c>
      <c r="E37" s="14">
        <v>323664</v>
      </c>
      <c r="F37" s="19" t="s">
        <v>150</v>
      </c>
      <c r="G37" s="29" t="s">
        <v>148</v>
      </c>
      <c r="H37" s="29" t="s">
        <v>148</v>
      </c>
      <c r="I37" s="29" t="s">
        <v>148</v>
      </c>
    </row>
    <row r="38" spans="1:9" ht="75">
      <c r="A38" s="4"/>
      <c r="B38" s="37" t="s">
        <v>187</v>
      </c>
      <c r="C38" s="38">
        <v>250000</v>
      </c>
      <c r="D38" s="30">
        <v>246357</v>
      </c>
      <c r="E38" s="14">
        <v>3643</v>
      </c>
      <c r="F38" s="18" t="s">
        <v>149</v>
      </c>
      <c r="G38" s="31" t="s">
        <v>188</v>
      </c>
      <c r="H38" s="29" t="s">
        <v>148</v>
      </c>
      <c r="I38" s="29" t="s">
        <v>148</v>
      </c>
    </row>
    <row r="39" spans="1:9">
      <c r="A39" s="4"/>
      <c r="B39" s="4"/>
      <c r="C39" s="4"/>
      <c r="D39" s="4"/>
      <c r="E39" s="4"/>
      <c r="F39" s="4"/>
      <c r="G39" s="4"/>
      <c r="H39" s="4"/>
      <c r="I39" s="4"/>
    </row>
    <row r="40" spans="1:9">
      <c r="A40" s="4"/>
      <c r="B40" s="39" t="s">
        <v>148</v>
      </c>
      <c r="C40" s="39" t="s">
        <v>148</v>
      </c>
      <c r="D40" s="39" t="s">
        <v>148</v>
      </c>
      <c r="E40" s="40" t="s">
        <v>148</v>
      </c>
      <c r="F40" s="4"/>
      <c r="G40" s="39" t="s">
        <v>148</v>
      </c>
      <c r="H40" s="4"/>
      <c r="I40" s="4"/>
    </row>
    <row r="41" spans="1:9" ht="18.75">
      <c r="A41" s="22">
        <v>2</v>
      </c>
      <c r="B41" s="41" t="s">
        <v>189</v>
      </c>
      <c r="C41" s="24" t="s">
        <v>154</v>
      </c>
      <c r="D41" s="24" t="s">
        <v>155</v>
      </c>
      <c r="E41" s="25" t="s">
        <v>190</v>
      </c>
      <c r="F41" s="42" t="s">
        <v>148</v>
      </c>
      <c r="G41" s="43" t="s">
        <v>148</v>
      </c>
      <c r="H41" s="4"/>
      <c r="I41" s="4"/>
    </row>
    <row r="42" spans="1:9" ht="15.75">
      <c r="A42" s="4"/>
      <c r="B42" s="44" t="s">
        <v>191</v>
      </c>
      <c r="C42" s="45">
        <v>110000</v>
      </c>
      <c r="D42" s="46" t="s">
        <v>148</v>
      </c>
      <c r="E42" s="45">
        <v>110000</v>
      </c>
      <c r="F42" s="19" t="s">
        <v>150</v>
      </c>
      <c r="G42" s="43" t="s">
        <v>148</v>
      </c>
      <c r="H42" s="4"/>
      <c r="I42" s="4"/>
    </row>
    <row r="43" spans="1:9" ht="15.75">
      <c r="A43" s="4"/>
      <c r="B43" s="10" t="s">
        <v>192</v>
      </c>
      <c r="C43" s="14">
        <v>50000</v>
      </c>
      <c r="D43" s="35" t="s">
        <v>148</v>
      </c>
      <c r="E43" s="14">
        <v>50000</v>
      </c>
      <c r="F43" s="47" t="s">
        <v>193</v>
      </c>
      <c r="G43" s="43" t="s">
        <v>148</v>
      </c>
      <c r="H43" s="4"/>
      <c r="I43" s="4"/>
    </row>
    <row r="44" spans="1:9" ht="15.75">
      <c r="A44" s="4"/>
      <c r="B44" s="10" t="s">
        <v>194</v>
      </c>
      <c r="C44" s="14">
        <v>50000</v>
      </c>
      <c r="D44" s="35" t="s">
        <v>148</v>
      </c>
      <c r="E44" s="14">
        <v>50000</v>
      </c>
      <c r="F44" s="47" t="s">
        <v>193</v>
      </c>
      <c r="G44" s="48" t="s">
        <v>148</v>
      </c>
      <c r="H44" s="4"/>
      <c r="I44" s="4"/>
    </row>
    <row r="45" spans="1:9" ht="15.75">
      <c r="A45" s="4"/>
      <c r="B45" s="44" t="s">
        <v>195</v>
      </c>
      <c r="C45" s="45">
        <v>20000</v>
      </c>
      <c r="D45" s="46" t="s">
        <v>148</v>
      </c>
      <c r="E45" s="45">
        <v>20000</v>
      </c>
      <c r="F45" s="19" t="s">
        <v>150</v>
      </c>
      <c r="G45" s="48" t="s">
        <v>148</v>
      </c>
      <c r="H45" s="4"/>
      <c r="I45" s="4"/>
    </row>
    <row r="46" spans="1:9" ht="15.75">
      <c r="A46" s="4"/>
      <c r="B46" s="49" t="s">
        <v>196</v>
      </c>
      <c r="C46" s="50">
        <v>1179600</v>
      </c>
      <c r="D46" s="51">
        <v>116031</v>
      </c>
      <c r="E46" s="45">
        <v>1063569</v>
      </c>
      <c r="F46" s="18" t="s">
        <v>149</v>
      </c>
      <c r="G46" s="48" t="s">
        <v>148</v>
      </c>
      <c r="H46" s="4"/>
      <c r="I46" s="4"/>
    </row>
    <row r="47" spans="1:9" ht="15.75">
      <c r="A47" s="4"/>
      <c r="B47" s="10" t="s">
        <v>197</v>
      </c>
      <c r="C47" s="14">
        <v>230000</v>
      </c>
      <c r="D47" s="35" t="s">
        <v>148</v>
      </c>
      <c r="E47" s="14">
        <v>230000</v>
      </c>
      <c r="F47" s="47" t="s">
        <v>193</v>
      </c>
      <c r="G47" s="48" t="s">
        <v>148</v>
      </c>
      <c r="H47" s="4"/>
      <c r="I47" s="4"/>
    </row>
    <row r="48" spans="1:9" ht="15.75">
      <c r="A48" s="4"/>
      <c r="B48" s="52" t="s">
        <v>198</v>
      </c>
      <c r="C48" s="53">
        <v>150000</v>
      </c>
      <c r="D48" s="53">
        <v>130268</v>
      </c>
      <c r="E48" s="53">
        <v>19732</v>
      </c>
      <c r="F48" s="18" t="s">
        <v>149</v>
      </c>
      <c r="G48" s="43" t="s">
        <v>148</v>
      </c>
      <c r="H48" s="4"/>
      <c r="I48" s="4"/>
    </row>
    <row r="49" spans="1:9" ht="15.75">
      <c r="A49" s="4"/>
      <c r="B49" s="44" t="s">
        <v>199</v>
      </c>
      <c r="C49" s="45">
        <v>17000</v>
      </c>
      <c r="D49" s="46" t="s">
        <v>148</v>
      </c>
      <c r="E49" s="45">
        <v>17000</v>
      </c>
      <c r="F49" s="19" t="s">
        <v>150</v>
      </c>
      <c r="G49" s="43" t="s">
        <v>148</v>
      </c>
      <c r="H49" s="4"/>
      <c r="I49" s="4"/>
    </row>
    <row r="50" spans="1:9" ht="15.75">
      <c r="A50" s="4"/>
      <c r="B50" s="10" t="s">
        <v>200</v>
      </c>
      <c r="C50" s="14">
        <v>4000000</v>
      </c>
      <c r="D50" s="35" t="s">
        <v>148</v>
      </c>
      <c r="E50" s="14">
        <v>4000000</v>
      </c>
      <c r="F50" s="47" t="s">
        <v>193</v>
      </c>
      <c r="G50" s="43" t="s">
        <v>148</v>
      </c>
      <c r="H50" s="4"/>
      <c r="I50" s="4"/>
    </row>
    <row r="51" spans="1:9">
      <c r="A51" s="4"/>
      <c r="B51" s="4"/>
      <c r="C51" s="4"/>
      <c r="D51" s="4"/>
      <c r="E51" s="4"/>
      <c r="F51" s="4"/>
      <c r="G51" s="4"/>
      <c r="H51" s="4"/>
      <c r="I51" s="4"/>
    </row>
  </sheetData>
  <mergeCells count="3">
    <mergeCell ref="B3:C3"/>
    <mergeCell ref="B10:E10"/>
    <mergeCell ref="G22:I22"/>
  </mergeCells>
  <hyperlinks>
    <hyperlink ref="G25" r:id="rId1" xr:uid="{0C5C1DB8-ABEC-4742-88E7-CE9740C2A711}"/>
    <hyperlink ref="G26" r:id="rId2" xr:uid="{7BE66A21-E233-4E91-86F1-C09EA64DD06D}"/>
    <hyperlink ref="H26" r:id="rId3" xr:uid="{26AB7DE0-F2C7-41E8-A9B8-002A2391EC05}"/>
    <hyperlink ref="G29" r:id="rId4" xr:uid="{5C133944-E70D-4851-A718-2142AA04628A}"/>
    <hyperlink ref="G30" r:id="rId5" xr:uid="{386EDC13-F99C-4676-81D6-C4B0E26F00CE}"/>
    <hyperlink ref="G31" r:id="rId6" xr:uid="{57FFCBCF-6AE0-4D8F-B6F8-0A08FC9B0864}"/>
    <hyperlink ref="G33" r:id="rId7" xr:uid="{462FFDA9-C7DA-4A31-8FA8-3CFC1542FA74}"/>
    <hyperlink ref="H33" r:id="rId8" xr:uid="{146C681E-26C4-44DD-8516-9E908D7828F1}"/>
    <hyperlink ref="I33" r:id="rId9" xr:uid="{3D1A2DD1-0F19-4D2D-A457-EA795C389D4C}"/>
    <hyperlink ref="G35" r:id="rId10" xr:uid="{A6079E4E-2880-45D7-9FF4-6B602600E9D0}"/>
    <hyperlink ref="H35" r:id="rId11" xr:uid="{683C680E-EED3-4578-8E70-780DF04ABB20}"/>
    <hyperlink ref="G38" r:id="rId12" xr:uid="{53A02986-0CF9-41E7-8A84-5D3FDF29277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Rudaw Abdulrahman</dc:creator>
  <cp:keywords/>
  <dc:description/>
  <cp:lastModifiedBy>Ezzat Zalzala</cp:lastModifiedBy>
  <cp:revision/>
  <dcterms:created xsi:type="dcterms:W3CDTF">2025-11-26T07:05:42Z</dcterms:created>
  <dcterms:modified xsi:type="dcterms:W3CDTF">2026-06-09T12:24:20Z</dcterms:modified>
  <cp:category/>
  <cp:contentStatus/>
</cp:coreProperties>
</file>